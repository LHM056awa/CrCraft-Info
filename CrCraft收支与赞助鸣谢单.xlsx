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92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<sst xmlns="http://schemas.openxmlformats.org/spreadsheetml/2006/main" count="289" uniqueCount="113">
  <si>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</si>
  <si>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</si>
  <si>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</si>
  <si>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</si>
  <si>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</si>
  <si>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</si>
  <si>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</si>
  <si>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</si>
  <si>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</si>
  <si>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</si>
  <si>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</si>
  <si>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</si>
  <si>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</si>
  <si>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</si>
  <si>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MoFangYa_</t>
  </si>
  <si>
    <t>AL_1S_2</t>
  </si>
  <si>
    <t>BYyihan</t>
  </si>
  <si>
    <t>qmzp_</t>
  </si>
  <si>
    <t>Mtve</t>
  </si>
  <si>
    <t>Disha_UUU2</t>
  </si>
  <si>
    <t>zkiftie</t>
  </si>
  <si>
    <t>KIRINIT</t>
  </si>
  <si>
    <t>_LoveSelf_</t>
  </si>
  <si>
    <t>dog</t>
  </si>
  <si>
    <t>NGZI</t>
  </si>
  <si>
    <t>Guramchik</t>
  </si>
  <si>
    <t>partyking1145</t>
  </si>
  <si>
    <t>用于购买内存条</t>
  </si>
  <si>
    <t>购买内存条</t>
  </si>
  <si>
    <t>xiaoshenjin233</t>
  </si>
  <si>
    <t>rocksuger</t>
  </si>
  <si>
    <t>主板、硬盘、机箱</t>
  </si>
  <si>
    <t>SNHGY</t>
  </si>
  <si>
    <t>物品、电费</t>
  </si>
  <si>
    <t>moqi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</si>
  <si>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</si>
  <si>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</si>
  <si>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</si>
  <si>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</si>
  <si>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</si>
  <si>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</si>
  <si>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</si>
  <si>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</si>
  <si>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↑11</t>
  </si>
  <si>
    <t>↓1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</si>
  <si>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</si>
  <si>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</si>
  <si>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</si>
  <si>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</si>
  <si>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</si>
  <si>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</si>
  <si>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</si>
  <si>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</si>
  <si>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</si>
  <si>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</si>
  <si>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</si>
  <si>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</si>
  <si>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Goocheu_fox</t>
  </si>
  <si>
    <t>5下界合金锭</t>
  </si>
  <si>
    <t>Cr_Dragon</t>
  </si>
  <si>
    <t>XL12</t>
  </si>
  <si>
    <t>拍卖账号</t>
  </si>
  <si>
    <t>鞘翅、TP、电费、羊毛、村民、TNT</t>
  </si>
  <si>
    <t>Onion520</t>
  </si>
  <si>
    <t>电费、经验</t>
  </si>
  <si>
    <t>lhl</t>
  </si>
  <si>
    <t>hanfengzunzhe</t>
  </si>
  <si>
    <t>书架、紫珀块</t>
  </si>
  <si>
    <t>xhf</t>
  </si>
  <si>
    <t>电费</t>
  </si>
  <si>
    <t>YuSaMa1145</t>
  </si>
  <si>
    <t>10书架</t>
  </si>
  <si>
    <t>Mo_Xuan_Yu</t>
  </si>
  <si>
    <t>xiaomin</t>
  </si>
  <si>
    <t>拍卖账号等</t>
  </si>
  <si>
    <t>前哨战坐标等</t>
  </si>
  <si>
    <t>A1TanJZ</t>
  </si>
  <si>
    <t>主板、CPU、电源、机械硬盘</t>
  </si>
  <si>
    <t>海绵、电费、鞘翅、遗物</t>
  </si>
  <si>
    <t>村民</t>
  </si>
  <si>
    <t>4不详宝库</t>
  </si>
  <si>
    <t>littlefish1688</t>
  </si>
  <si>
    <t>2村民蛋</t>
  </si>
  <si>
    <t>QSWY_MC</t>
  </si>
  <si>
    <t>鞘翅、神镐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</si>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</sst>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/>
    </xf>
    <xf numFmtId="31" fontId="0" fillId="0" borderId="13" xfId="0" applyNumberFormat="1" applyBorder="1" applyAlignment="1">
      <alignment horizontal="center" vertical="center"/>
    </xf>
    <xf numFmtId="31" fontId="0" fillId="0" borderId="7" xfId="0" applyNumberFormat="1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right" vertical="center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49"/>
  <sheetViews>
    <sheetView tabSelected="1" workbookViewId="0">
      <pane ySplit="2" topLeftCell="A3" activePane="bottomLeft" state="frozen"/>
      <selection/>
      <selection pane="bottomLeft" activeCell="J27" sqref="J27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SUM(C10,C15,C18:C18,C21:C21,C24,C31:C31,C36,C43,C88,C90,C114)</f>
        <v>504.2</v>
      </c>
      <c r="J3" s="3">
        <v>45975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SUM(C44,C49,C51:C51,C53,C58:C58,C60:C60,C63,C66:C66,C68:C68,C70,C72:C72,C77,C91,C95,C125,C127,C136,C138,C141)</f>
        <v>427</v>
      </c>
      <c r="J4" s="3">
        <v>46137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0" t="s">
        <v>19</v>
      </c>
      <c r="I6" s="16">
        <f>SUM(C11,C16,C29,C25,C62,C81:C81)</f>
        <v>239.66</v>
      </c>
      <c r="J6" s="3">
        <v>45829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" t="s">
        <v>21</v>
      </c>
      <c r="I7" s="2">
        <f>SUM(C110:C110,C113,C116,C118,C129,C134,C142)</f>
        <v>200</v>
      </c>
      <c r="J7" s="3">
        <v>46141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0" t="s">
        <v>26</v>
      </c>
      <c r="I10" s="2">
        <f>SUM(C86,C101,C105,C107,C112,C119,C124)</f>
        <v>52.01</v>
      </c>
      <c r="J10" s="3">
        <v>46047</v>
      </c>
    </row>
    <row r="11" spans="1:11">
      <c r="A11" s="17">
        <v>44781</v>
      </c>
      <c r="B11" s="8" t="s">
        <v>19</v>
      </c>
      <c r="C11" s="13">
        <v>130</v>
      </c>
      <c r="D11" s="14">
        <f>SUM(C3:C11)</f>
        <v>193.93</v>
      </c>
      <c r="E11" s="9" t="s">
        <v>27</v>
      </c>
      <c r="G11" s="15">
        <v>9</v>
      </c>
      <c r="H11" s="10" t="s">
        <v>22</v>
      </c>
      <c r="I11" s="16">
        <f>SUM(C8:C8,C47,C45,C50:C50)</f>
        <v>49</v>
      </c>
      <c r="J11" s="3">
        <v>45505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28</v>
      </c>
      <c r="G12" s="15">
        <v>10</v>
      </c>
      <c r="H12" s="10" t="s">
        <v>12</v>
      </c>
      <c r="I12" s="16">
        <f>SUM(C3,C20:C20,C38,C104,C111)</f>
        <v>39</v>
      </c>
      <c r="J12" s="3">
        <v>45968</v>
      </c>
    </row>
    <row r="13" spans="1:11">
      <c r="A13" s="17">
        <v>44787</v>
      </c>
      <c r="B13" s="8" t="s">
        <v>29</v>
      </c>
      <c r="C13" s="13">
        <v>5.02</v>
      </c>
      <c r="D13" s="14">
        <f>SUM(C3:C13)</f>
        <v>-0.0499999999999936</v>
      </c>
      <c r="E13" s="9"/>
      <c r="G13" s="15">
        <v>11</v>
      </c>
      <c r="H13" s="10" t="s">
        <v>30</v>
      </c>
      <c r="I13" s="16">
        <f>SUM(C56,C46,C74)</f>
        <v>23</v>
      </c>
      <c r="J13" s="3">
        <v>45634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31</v>
      </c>
      <c r="G14" s="15">
        <v>12</v>
      </c>
      <c r="H14" s="10" t="s">
        <v>32</v>
      </c>
      <c r="I14" s="2">
        <f>SUM(C99,C109,C130,C137,C144)</f>
        <v>18.45</v>
      </c>
      <c r="J14" s="3">
        <v>46144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33</v>
      </c>
      <c r="G15" s="15">
        <v>13</v>
      </c>
      <c r="H15" s="1" t="s">
        <v>34</v>
      </c>
      <c r="I15" s="2">
        <f>SUM(C133,C143)</f>
        <v>18.32</v>
      </c>
      <c r="J15" s="3">
        <v>46141</v>
      </c>
    </row>
    <row r="16" spans="1:11">
      <c r="A16" s="17">
        <v>44946</v>
      </c>
      <c r="B16" s="8" t="s">
        <v>19</v>
      </c>
      <c r="C16" s="13">
        <v>13</v>
      </c>
      <c r="D16" s="14">
        <f>SUM(C3:C16)</f>
        <v>-647.05</v>
      </c>
      <c r="E16" s="9"/>
      <c r="G16" s="15">
        <v>14</v>
      </c>
      <c r="H16" s="10" t="s">
        <v>35</v>
      </c>
      <c r="I16" s="2">
        <f>SUM(C85:C85,C89,C96:C98,C117,C120,C122)</f>
        <v>17.34</v>
      </c>
      <c r="J16" s="3">
        <v>46039</v>
      </c>
    </row>
    <row r="17" spans="1:11">
      <c r="A17" s="17">
        <v>44953</v>
      </c>
      <c r="B17" s="8" t="s">
        <v>36</v>
      </c>
      <c r="C17" s="13">
        <v>10</v>
      </c>
      <c r="D17" s="20">
        <f>SUM(C3:C17)</f>
        <v>-637.05</v>
      </c>
      <c r="E17" s="9" t="s">
        <v>37</v>
      </c>
      <c r="G17" s="15">
        <v>15</v>
      </c>
      <c r="H17" s="1" t="s">
        <v>38</v>
      </c>
      <c r="I17" s="2">
        <v>15</v>
      </c>
      <c r="J17" s="3">
        <v>45930</v>
      </c>
    </row>
    <row r="18" spans="1:11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 t="s">
        <v>39</v>
      </c>
      <c r="G18" s="15">
        <v>16</v>
      </c>
      <c r="H18" s="10" t="s">
        <v>40</v>
      </c>
      <c r="I18" s="16">
        <f>SUM(C40,C64)</f>
        <v>11</v>
      </c>
      <c r="J18" s="3">
        <v>45555</v>
      </c>
    </row>
    <row r="19" spans="1:11">
      <c r="A19" s="17"/>
      <c r="B19" s="22" t="s">
        <v>41</v>
      </c>
      <c r="C19" s="13">
        <v>1.32</v>
      </c>
      <c r="D19" s="23"/>
      <c r="E19" s="9"/>
      <c r="G19" s="15">
        <v>17</v>
      </c>
      <c r="H19" s="1" t="s">
        <v>42</v>
      </c>
      <c r="I19" s="2">
        <f>SUM(C135,C139,C146)</f>
        <v>10.5</v>
      </c>
      <c r="J19" s="3">
        <v>46145</v>
      </c>
      <c r="K19" t="s">
        <v>43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36</v>
      </c>
      <c r="I20" s="16">
        <v>10</v>
      </c>
      <c r="J20" s="3">
        <v>44953</v>
      </c>
      <c r="K20" t="s">
        <v>44</v>
      </c>
    </row>
    <row r="21" spans="1:11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 t="s">
        <v>45</v>
      </c>
      <c r="G21" s="15">
        <v>19</v>
      </c>
      <c r="H21" s="10" t="s">
        <v>46</v>
      </c>
      <c r="I21" s="16">
        <v>10</v>
      </c>
      <c r="J21" s="3">
        <v>45234</v>
      </c>
      <c r="K21" t="s">
        <v>44</v>
      </c>
    </row>
    <row r="22" spans="1:11">
      <c r="A22" s="17">
        <v>45140</v>
      </c>
      <c r="B22" s="8" t="s">
        <v>47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48</v>
      </c>
      <c r="I22" s="16">
        <v>10</v>
      </c>
      <c r="J22" s="3">
        <v>45325</v>
      </c>
      <c r="K22" t="s">
        <v>44</v>
      </c>
    </row>
    <row r="23" spans="1:11">
      <c r="A23" s="17">
        <v>45141</v>
      </c>
      <c r="B23" s="8" t="s">
        <v>49</v>
      </c>
      <c r="C23" s="13">
        <v>1.01</v>
      </c>
      <c r="D23" s="21">
        <f>SUM(C3:C24)</f>
        <v>-418.61</v>
      </c>
      <c r="E23" s="9"/>
      <c r="G23" s="15">
        <v>21</v>
      </c>
      <c r="H23" s="10" t="s">
        <v>50</v>
      </c>
      <c r="I23" s="16">
        <v>10</v>
      </c>
      <c r="J23" s="3">
        <v>45649</v>
      </c>
      <c r="K23" t="s">
        <v>44</v>
      </c>
    </row>
    <row r="24" spans="1:11">
      <c r="A24" s="17"/>
      <c r="B24" s="8" t="s">
        <v>13</v>
      </c>
      <c r="C24" s="13">
        <v>9</v>
      </c>
      <c r="D24" s="23"/>
      <c r="E24" s="9" t="s">
        <v>51</v>
      </c>
      <c r="G24" s="15">
        <v>22</v>
      </c>
      <c r="H24" s="1" t="s">
        <v>52</v>
      </c>
      <c r="I24" s="2">
        <v>10</v>
      </c>
      <c r="J24" s="3">
        <v>46069</v>
      </c>
      <c r="K24" t="s">
        <v>44</v>
      </c>
    </row>
    <row r="25" spans="1:11">
      <c r="A25" s="17">
        <v>45160</v>
      </c>
      <c r="B25" s="8" t="s">
        <v>19</v>
      </c>
      <c r="C25" s="13">
        <v>3</v>
      </c>
      <c r="D25" s="14">
        <f>SUM(C3:C25)</f>
        <v>-415.61</v>
      </c>
      <c r="E25" s="9"/>
      <c r="G25" s="15">
        <v>23</v>
      </c>
      <c r="H25" s="10" t="s">
        <v>53</v>
      </c>
      <c r="I25" s="16">
        <v>10</v>
      </c>
      <c r="J25" s="3">
        <v>46145</v>
      </c>
      <c r="K25" t="s">
        <v>44</v>
      </c>
    </row>
    <row r="26" spans="1:11">
      <c r="A26" s="17">
        <v>45234</v>
      </c>
      <c r="B26" s="8" t="s">
        <v>46</v>
      </c>
      <c r="C26" s="13">
        <v>10</v>
      </c>
      <c r="D26" s="21">
        <f>SUM(C3:C27)</f>
        <v>-415.61</v>
      </c>
      <c r="E26" s="9" t="s">
        <v>54</v>
      </c>
      <c r="G26">
        <v>24</v>
      </c>
      <c r="H26" s="10" t="s">
        <v>55</v>
      </c>
      <c r="I26" s="2">
        <v>8</v>
      </c>
      <c r="J26" s="3">
        <v>45860</v>
      </c>
      <c r="K26" t="s">
        <v>44</v>
      </c>
    </row>
    <row r="27" spans="1:11">
      <c r="A27" s="17"/>
      <c r="B27" s="8"/>
      <c r="C27" s="18">
        <v>-10</v>
      </c>
      <c r="D27" s="23"/>
      <c r="E27" s="9" t="s">
        <v>56</v>
      </c>
      <c r="G27">
        <v>25</v>
      </c>
      <c r="H27" s="1" t="s">
        <v>57</v>
      </c>
      <c r="I27" s="2">
        <v>7.33</v>
      </c>
      <c r="J27" s="3">
        <v>45907</v>
      </c>
      <c r="K27" t="s">
        <v>44</v>
      </c>
    </row>
    <row r="28" spans="1:11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58</v>
      </c>
      <c r="G28">
        <v>26</v>
      </c>
      <c r="H28" s="10" t="s">
        <v>59</v>
      </c>
      <c r="I28" s="16">
        <f>SUM(C82,C84,C94)</f>
        <v>6.98</v>
      </c>
      <c r="J28" s="3">
        <v>45861</v>
      </c>
      <c r="K28" t="s">
        <v>44</v>
      </c>
    </row>
    <row r="29" spans="1:11">
      <c r="A29" s="17">
        <v>45305</v>
      </c>
      <c r="B29" s="8" t="s">
        <v>19</v>
      </c>
      <c r="C29" s="13">
        <v>50</v>
      </c>
      <c r="D29" s="14">
        <f>SUM(C3:C29)</f>
        <v>-350.11</v>
      </c>
      <c r="E29" s="9"/>
      <c r="G29">
        <v>27</v>
      </c>
      <c r="H29" s="10" t="s">
        <v>60</v>
      </c>
      <c r="I29" s="2">
        <v>6</v>
      </c>
      <c r="J29" s="3">
        <v>45868</v>
      </c>
      <c r="K29" t="s">
        <v>44</v>
      </c>
    </row>
    <row r="30" spans="1:11">
      <c r="A30" s="17">
        <v>45325</v>
      </c>
      <c r="B30" s="8" t="s">
        <v>48</v>
      </c>
      <c r="C30" s="13">
        <v>10</v>
      </c>
      <c r="D30" s="20">
        <f>SUM(C3:C30)</f>
        <v>-340.11</v>
      </c>
      <c r="E30" s="9" t="s">
        <v>61</v>
      </c>
      <c r="G30">
        <v>28</v>
      </c>
      <c r="H30" s="10" t="s">
        <v>29</v>
      </c>
      <c r="I30" s="16">
        <v>5.02</v>
      </c>
      <c r="J30" s="3">
        <v>44787</v>
      </c>
      <c r="K30" t="s">
        <v>44</v>
      </c>
    </row>
    <row r="31" spans="1:11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 t="s">
        <v>62</v>
      </c>
      <c r="G31">
        <v>29</v>
      </c>
      <c r="H31" s="10" t="s">
        <v>63</v>
      </c>
      <c r="I31" s="16">
        <v>5</v>
      </c>
      <c r="J31" s="3">
        <v>45634</v>
      </c>
      <c r="K31" t="s">
        <v>44</v>
      </c>
    </row>
    <row r="32" spans="1:11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4.15</v>
      </c>
      <c r="J32" s="3">
        <v>45707</v>
      </c>
    </row>
    <row r="33" spans="1:10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2">
        <v>4</v>
      </c>
      <c r="J33" s="3">
        <v>45885</v>
      </c>
    </row>
    <row r="34" spans="1:10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" t="s">
        <v>70</v>
      </c>
      <c r="I34" s="2">
        <f>SUM(C100,C108)</f>
        <v>4</v>
      </c>
      <c r="J34" s="3">
        <v>45934</v>
      </c>
    </row>
    <row r="35" spans="1:10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0" t="s">
        <v>18</v>
      </c>
      <c r="I35" s="16">
        <v>3</v>
      </c>
      <c r="J35" s="3" t="s">
        <v>11</v>
      </c>
    </row>
    <row r="36" spans="1:10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0" t="s">
        <v>72</v>
      </c>
      <c r="I36" s="16">
        <v>3</v>
      </c>
      <c r="J36" s="3">
        <v>45500</v>
      </c>
    </row>
    <row r="37" spans="1:10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2">
        <v>2.5</v>
      </c>
      <c r="J37" s="3">
        <v>45976</v>
      </c>
    </row>
    <row r="38" spans="1:10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66</v>
      </c>
      <c r="I38" s="16">
        <f>SUM(C35,C33:C33)</f>
        <v>2.18</v>
      </c>
      <c r="J38" s="3">
        <v>45396</v>
      </c>
    </row>
    <row r="39" spans="1:10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75</v>
      </c>
      <c r="G39" s="15">
        <v>37</v>
      </c>
      <c r="H39" s="10" t="s">
        <v>16</v>
      </c>
      <c r="I39" s="16">
        <v>2</v>
      </c>
      <c r="J39" s="3" t="s">
        <v>11</v>
      </c>
    </row>
    <row r="40" spans="1:10">
      <c r="A40" s="17">
        <v>45421</v>
      </c>
      <c r="B40" s="8" t="s">
        <v>40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" t="s">
        <v>76</v>
      </c>
      <c r="I40" s="2">
        <v>2</v>
      </c>
      <c r="J40" s="3">
        <v>45907</v>
      </c>
    </row>
    <row r="41" spans="1:10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24" t="s">
        <v>41</v>
      </c>
      <c r="I41" s="16">
        <v>1.32</v>
      </c>
      <c r="J41" s="3">
        <v>44958</v>
      </c>
    </row>
    <row r="42" spans="1:10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78</v>
      </c>
      <c r="G42" s="15">
        <v>40</v>
      </c>
      <c r="H42" s="10" t="s">
        <v>20</v>
      </c>
      <c r="I42" s="16">
        <v>1.28</v>
      </c>
      <c r="J42" s="3" t="s">
        <v>11</v>
      </c>
    </row>
    <row r="43" spans="1:10">
      <c r="A43" s="17"/>
      <c r="B43" s="8" t="s">
        <v>13</v>
      </c>
      <c r="C43" s="13">
        <v>2</v>
      </c>
      <c r="D43" s="23"/>
      <c r="E43" s="9" t="s">
        <v>79</v>
      </c>
      <c r="G43">
        <v>41</v>
      </c>
      <c r="H43" s="10" t="s">
        <v>49</v>
      </c>
      <c r="I43" s="16">
        <v>1.01</v>
      </c>
      <c r="J43" s="3">
        <v>45141</v>
      </c>
    </row>
    <row r="44" spans="1:10">
      <c r="A44" s="25">
        <v>45495</v>
      </c>
      <c r="B44" s="26" t="s">
        <v>15</v>
      </c>
      <c r="C44" s="27">
        <v>8</v>
      </c>
      <c r="D44" s="21">
        <f>SUM(C3:C44)</f>
        <v>-1907.27</v>
      </c>
      <c r="E44" s="28" t="s">
        <v>80</v>
      </c>
      <c r="G44">
        <v>42</v>
      </c>
      <c r="H44" s="10" t="s">
        <v>81</v>
      </c>
      <c r="I44" s="16">
        <v>1</v>
      </c>
      <c r="J44" s="3">
        <v>45794</v>
      </c>
    </row>
    <row r="45" spans="1:10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14</v>
      </c>
      <c r="I45" s="16">
        <v>0.55</v>
      </c>
      <c r="J45" s="3" t="s">
        <v>11</v>
      </c>
    </row>
    <row r="46" spans="1:10">
      <c r="A46" s="29"/>
      <c r="B46" s="26" t="s">
        <v>30</v>
      </c>
      <c r="C46" s="27">
        <v>3</v>
      </c>
      <c r="D46" s="30"/>
      <c r="E46" s="28" t="s">
        <v>82</v>
      </c>
      <c r="G46">
        <v>44</v>
      </c>
      <c r="H46" s="10" t="s">
        <v>83</v>
      </c>
      <c r="I46" s="16">
        <v>0.5</v>
      </c>
      <c r="J46" s="3">
        <v>45697</v>
      </c>
    </row>
    <row r="47" spans="1:10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2">
        <v>0.5</v>
      </c>
      <c r="J47" s="3">
        <v>45885</v>
      </c>
    </row>
    <row r="48" spans="1:10">
      <c r="A48" s="25">
        <v>45500</v>
      </c>
      <c r="B48" s="26" t="s">
        <v>72</v>
      </c>
      <c r="C48" s="27">
        <v>3</v>
      </c>
      <c r="D48" s="21">
        <f>SUM(C3:C49)</f>
        <v>-1866.27</v>
      </c>
      <c r="E48" s="28"/>
      <c r="G48" s="15">
        <v>46</v>
      </c>
      <c r="H48" s="10" t="s">
        <v>47</v>
      </c>
      <c r="I48" s="16">
        <v>0.11</v>
      </c>
      <c r="J48" s="3">
        <v>45140</v>
      </c>
    </row>
    <row r="49" spans="1:10">
      <c r="A49" s="31"/>
      <c r="B49" s="26" t="s">
        <v>15</v>
      </c>
      <c r="C49" s="27">
        <v>5</v>
      </c>
      <c r="D49" s="30"/>
      <c r="E49" s="28" t="s">
        <v>69</v>
      </c>
      <c r="G49">
        <v>47</v>
      </c>
      <c r="H49" s="10" t="s">
        <v>24</v>
      </c>
      <c r="I49" s="16">
        <v>0.1</v>
      </c>
      <c r="J49" s="3">
        <v>44213</v>
      </c>
    </row>
    <row r="50" spans="1:10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86</v>
      </c>
    </row>
    <row r="51" spans="1:10">
      <c r="A51" s="25">
        <v>45507</v>
      </c>
      <c r="B51" s="26" t="s">
        <v>15</v>
      </c>
      <c r="C51" s="27">
        <v>14</v>
      </c>
      <c r="D51" s="21">
        <f>SUM(C3:C52)</f>
        <v>-1756.27</v>
      </c>
      <c r="E51" s="28" t="s">
        <v>69</v>
      </c>
    </row>
    <row r="52" spans="1:10">
      <c r="A52" s="31"/>
      <c r="B52" s="26" t="s">
        <v>25</v>
      </c>
      <c r="C52" s="27">
        <v>86</v>
      </c>
      <c r="D52" s="30"/>
      <c r="E52" s="28" t="s">
        <v>87</v>
      </c>
    </row>
    <row r="53" spans="1:10">
      <c r="A53" s="25">
        <v>45508</v>
      </c>
      <c r="B53" s="26" t="s">
        <v>15</v>
      </c>
      <c r="C53" s="27">
        <v>9</v>
      </c>
      <c r="D53" s="21">
        <f>SUM(C3:C54)</f>
        <v>-1737.27</v>
      </c>
      <c r="E53" s="28" t="s">
        <v>69</v>
      </c>
    </row>
    <row r="54" spans="1:10">
      <c r="A54" s="31"/>
      <c r="B54" s="26" t="s">
        <v>17</v>
      </c>
      <c r="C54" s="27">
        <v>10</v>
      </c>
      <c r="D54" s="30"/>
      <c r="E54" s="28"/>
    </row>
    <row r="55" spans="1:10">
      <c r="A55" s="25">
        <v>45509</v>
      </c>
      <c r="B55" s="26"/>
      <c r="C55" s="32">
        <v>-10</v>
      </c>
      <c r="D55" s="21">
        <f>SUM(C3:C56)</f>
        <v>-1737.27</v>
      </c>
      <c r="E55" s="28" t="s">
        <v>88</v>
      </c>
    </row>
    <row r="56" spans="1:10">
      <c r="A56" s="31"/>
      <c r="B56" s="26" t="s">
        <v>30</v>
      </c>
      <c r="C56" s="27">
        <v>10</v>
      </c>
      <c r="D56" s="30"/>
      <c r="E56" s="28"/>
    </row>
    <row r="57" spans="1:10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87</v>
      </c>
    </row>
    <row r="58" spans="1:10">
      <c r="A58" s="25">
        <v>45525</v>
      </c>
      <c r="B58" s="33" t="s">
        <v>15</v>
      </c>
      <c r="C58" s="27">
        <f>6+5+5+5+6+5+5+5+30</f>
        <v>72</v>
      </c>
      <c r="D58" s="21">
        <f>SUM(C3:C58)</f>
        <v>-1625.27</v>
      </c>
      <c r="E58" s="28" t="s">
        <v>89</v>
      </c>
    </row>
    <row r="59" spans="1:10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90</v>
      </c>
    </row>
    <row r="60" spans="1:10">
      <c r="A60" s="25">
        <v>45549</v>
      </c>
      <c r="B60" s="33" t="s">
        <v>15</v>
      </c>
      <c r="C60" s="27">
        <v>30</v>
      </c>
      <c r="D60" s="21">
        <f>SUM(C3:C61)</f>
        <v>-1569.27</v>
      </c>
      <c r="E60" s="28" t="s">
        <v>69</v>
      </c>
    </row>
    <row r="61" spans="1:10">
      <c r="A61" s="29"/>
      <c r="B61" s="33" t="s">
        <v>17</v>
      </c>
      <c r="C61" s="27">
        <v>20</v>
      </c>
      <c r="D61" s="30"/>
      <c r="E61" s="28" t="s">
        <v>87</v>
      </c>
    </row>
    <row r="62" spans="1:10">
      <c r="A62" s="31">
        <v>45551</v>
      </c>
      <c r="B62" s="33" t="s">
        <v>19</v>
      </c>
      <c r="C62" s="27">
        <v>17</v>
      </c>
      <c r="D62" s="21">
        <f>SUM(C3:C62)</f>
        <v>-1552.27</v>
      </c>
      <c r="E62" s="28"/>
    </row>
    <row r="63" spans="1:10">
      <c r="A63" s="25">
        <v>45552</v>
      </c>
      <c r="B63" s="33" t="s">
        <v>15</v>
      </c>
      <c r="C63" s="27">
        <v>40</v>
      </c>
      <c r="D63" s="21">
        <f>SUM(C3:C63)</f>
        <v>-1512.27</v>
      </c>
      <c r="E63" s="28"/>
    </row>
    <row r="64" spans="1:10">
      <c r="A64" s="25">
        <v>45555</v>
      </c>
      <c r="B64" s="33" t="s">
        <v>40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91</v>
      </c>
    </row>
    <row r="66" spans="1:5">
      <c r="A66" s="25">
        <v>45584</v>
      </c>
      <c r="B66" s="33" t="s">
        <v>15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15</v>
      </c>
      <c r="C68" s="27">
        <v>60</v>
      </c>
      <c r="D68" s="21">
        <f>SUM(C3:C68)</f>
        <v>-1389.27</v>
      </c>
      <c r="E68" s="28" t="s">
        <v>92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15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15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63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30</v>
      </c>
      <c r="C74" s="27">
        <v>10</v>
      </c>
      <c r="D74" s="30"/>
      <c r="E74" s="28" t="s">
        <v>93</v>
      </c>
    </row>
    <row r="75" spans="1:5">
      <c r="A75" s="17">
        <v>45649</v>
      </c>
      <c r="B75" s="33" t="s">
        <v>50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94</v>
      </c>
    </row>
    <row r="77" spans="1:5">
      <c r="A77" s="25">
        <v>45686</v>
      </c>
      <c r="B77" s="33" t="s">
        <v>15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83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65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81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19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59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55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59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35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26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60</v>
      </c>
      <c r="C87" s="27">
        <v>6</v>
      </c>
      <c r="D87" s="21">
        <f>SUM(C3:C87)</f>
        <v>-1237.97</v>
      </c>
      <c r="E87" s="28" t="s">
        <v>95</v>
      </c>
    </row>
    <row r="88" spans="1:5">
      <c r="A88" s="25">
        <v>45877</v>
      </c>
      <c r="B88" s="33" t="s">
        <v>13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35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13</v>
      </c>
      <c r="C90" s="27">
        <v>26</v>
      </c>
      <c r="D90" s="21">
        <f>SUM(C3:C90)</f>
        <v>-1206.96</v>
      </c>
      <c r="E90" s="34" t="s">
        <v>96</v>
      </c>
    </row>
    <row r="91" spans="1:5">
      <c r="A91" s="25">
        <v>45881</v>
      </c>
      <c r="B91" s="33" t="s">
        <v>15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85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68</v>
      </c>
      <c r="C93" s="27">
        <v>6</v>
      </c>
      <c r="D93" s="30"/>
      <c r="E93" s="34"/>
    </row>
    <row r="94" spans="1:5">
      <c r="A94" s="17"/>
      <c r="B94" s="33" t="s">
        <v>59</v>
      </c>
      <c r="C94" s="27">
        <v>4</v>
      </c>
      <c r="D94" s="30"/>
      <c r="E94" s="34"/>
    </row>
    <row r="95" spans="1:5">
      <c r="A95" s="25">
        <v>45886</v>
      </c>
      <c r="B95" s="33" t="s">
        <v>15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35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57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35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32</v>
      </c>
      <c r="C99" s="27">
        <v>2</v>
      </c>
      <c r="D99" s="30"/>
      <c r="E99" s="34"/>
    </row>
    <row r="100" spans="1:5">
      <c r="A100" s="31"/>
      <c r="B100" s="33" t="s">
        <v>70</v>
      </c>
      <c r="C100" s="27">
        <v>2</v>
      </c>
      <c r="D100" s="30"/>
      <c r="E100" s="34"/>
    </row>
    <row r="101" spans="1:5">
      <c r="A101" s="31"/>
      <c r="B101" s="33" t="s">
        <v>26</v>
      </c>
      <c r="C101" s="27">
        <v>2</v>
      </c>
      <c r="D101" s="30"/>
      <c r="E101" s="34"/>
    </row>
    <row r="102" spans="1:5">
      <c r="A102" s="31"/>
      <c r="B102" s="33" t="s">
        <v>76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97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26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38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26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70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32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21</v>
      </c>
      <c r="C110" s="27">
        <v>60</v>
      </c>
      <c r="D110" s="21">
        <f>SUM(C3:C110)</f>
        <v>-1202.68</v>
      </c>
      <c r="E110" s="34" t="s">
        <v>98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26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21</v>
      </c>
      <c r="C113" s="27">
        <v>60</v>
      </c>
      <c r="D113" s="21">
        <f>SUM(C3:C113)</f>
        <v>-1131.68</v>
      </c>
      <c r="E113" s="34" t="s">
        <v>99</v>
      </c>
    </row>
    <row r="114" spans="1:5">
      <c r="A114" s="25">
        <v>45975</v>
      </c>
      <c r="B114" s="33" t="s">
        <v>13</v>
      </c>
      <c r="C114" s="27">
        <v>37</v>
      </c>
      <c r="D114" s="21">
        <f>SUM(C3:C114)</f>
        <v>-1094.68</v>
      </c>
      <c r="E114" s="34" t="s">
        <v>100</v>
      </c>
    </row>
    <row r="115" spans="1:5">
      <c r="A115" s="25">
        <v>45976</v>
      </c>
      <c r="B115" s="33" t="s">
        <v>73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21</v>
      </c>
      <c r="C116" s="27">
        <v>20</v>
      </c>
      <c r="D116" s="21">
        <f>SUM(C3:C116)</f>
        <v>-1072.18</v>
      </c>
      <c r="E116" s="34" t="s">
        <v>101</v>
      </c>
    </row>
    <row r="117" spans="1:5">
      <c r="A117" s="25">
        <v>45990</v>
      </c>
      <c r="B117" s="33" t="s">
        <v>35</v>
      </c>
      <c r="C117" s="27">
        <v>1</v>
      </c>
      <c r="D117" s="21">
        <f>SUM(C3:C117)</f>
        <v>-1071.18</v>
      </c>
      <c r="E117" s="34" t="s">
        <v>102</v>
      </c>
    </row>
    <row r="118" spans="1:5">
      <c r="A118" s="25">
        <v>46012</v>
      </c>
      <c r="B118" s="33" t="s">
        <v>21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26</v>
      </c>
      <c r="C119" s="27">
        <v>16</v>
      </c>
      <c r="D119" s="21">
        <f>SUM(C3:C119)</f>
        <v>-1045.18</v>
      </c>
      <c r="E119" s="34" t="s">
        <v>103</v>
      </c>
    </row>
    <row r="120" spans="1:5">
      <c r="A120" s="25">
        <v>46031</v>
      </c>
      <c r="B120" s="33" t="s">
        <v>35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23</v>
      </c>
      <c r="C121" s="27">
        <v>66</v>
      </c>
      <c r="D121" s="21">
        <f>SUM(C3:C121)</f>
        <v>-977.18</v>
      </c>
      <c r="E121" s="34" t="s">
        <v>104</v>
      </c>
    </row>
    <row r="122" spans="1:5">
      <c r="A122" s="25">
        <v>46039</v>
      </c>
      <c r="B122" s="33" t="s">
        <v>35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23</v>
      </c>
      <c r="C123" s="27">
        <v>7</v>
      </c>
      <c r="D123" s="21">
        <f>SUM(C3:C123)</f>
        <v>-969.18</v>
      </c>
      <c r="E123" s="34" t="s">
        <v>105</v>
      </c>
    </row>
    <row r="124" spans="1:5">
      <c r="A124" s="31"/>
      <c r="B124" s="33" t="s">
        <v>26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15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23</v>
      </c>
      <c r="C126" s="27">
        <v>36</v>
      </c>
      <c r="D126" s="21">
        <f>SUM(C3:C126)</f>
        <v>-917.18</v>
      </c>
      <c r="E126" s="34" t="s">
        <v>106</v>
      </c>
    </row>
    <row r="127" spans="1:5">
      <c r="A127" s="25">
        <v>46057</v>
      </c>
      <c r="B127" s="33" t="s">
        <v>15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23</v>
      </c>
      <c r="C128" s="27">
        <v>78</v>
      </c>
      <c r="D128" s="21">
        <f>SUM(C3:C128)</f>
        <v>-834.18</v>
      </c>
      <c r="E128" s="34" t="s">
        <v>107</v>
      </c>
    </row>
    <row r="129" spans="1:5">
      <c r="A129" s="36"/>
      <c r="B129" s="33" t="s">
        <v>21</v>
      </c>
      <c r="C129" s="27">
        <v>30</v>
      </c>
      <c r="D129" s="21">
        <f>SUM(C3:C129)</f>
        <v>-804.18</v>
      </c>
      <c r="E129" s="34" t="s">
        <v>108</v>
      </c>
    </row>
    <row r="130" spans="1:5">
      <c r="A130" s="25">
        <v>46069</v>
      </c>
      <c r="B130" s="33" t="s">
        <v>32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23</v>
      </c>
      <c r="C131" s="27">
        <v>8</v>
      </c>
      <c r="D131" s="21">
        <f>SUM(C3:C131)</f>
        <v>-791.18</v>
      </c>
      <c r="E131" s="34" t="s">
        <v>79</v>
      </c>
    </row>
    <row r="132" spans="1:5">
      <c r="A132" s="31"/>
      <c r="B132" s="33" t="s">
        <v>52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34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21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42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15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32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15</v>
      </c>
      <c r="C138" s="27">
        <v>70</v>
      </c>
      <c r="D138" s="21">
        <f>SUM(C3:C138)</f>
        <v>-656.36</v>
      </c>
      <c r="E138" s="34" t="s">
        <v>109</v>
      </c>
    </row>
    <row r="139" spans="1:5">
      <c r="A139" s="25">
        <v>46130</v>
      </c>
      <c r="B139" s="33" t="s">
        <v>42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110</v>
      </c>
    </row>
    <row r="141" spans="1:5">
      <c r="A141" s="25">
        <v>46136</v>
      </c>
      <c r="B141" s="33" t="s">
        <v>15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21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34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32</v>
      </c>
      <c r="C144" s="27">
        <v>1</v>
      </c>
      <c r="D144" s="21">
        <f>SUM(C3:C144)</f>
        <v>-3115.15</v>
      </c>
      <c r="E144" s="34"/>
    </row>
    <row r="145" spans="1:5">
      <c r="A145" s="37">
        <v>46145</v>
      </c>
      <c r="B145" s="33" t="s">
        <v>53</v>
      </c>
      <c r="C145" s="27">
        <v>10</v>
      </c>
      <c r="D145" s="21">
        <f>SUM(C3:C145)</f>
        <v>-3105.15</v>
      </c>
      <c r="E145" s="34" t="s">
        <v>111</v>
      </c>
    </row>
    <row r="146" spans="1:5">
      <c r="A146" s="38"/>
      <c r="B146" s="39" t="s">
        <v>42</v>
      </c>
      <c r="C146" s="40">
        <v>6</v>
      </c>
      <c r="D146" s="21">
        <f>SUM(C3:C146)</f>
        <v>-3099.15</v>
      </c>
      <c r="E146" s="41"/>
    </row>
    <row r="147" spans="1:5">
      <c r="A147" s="42"/>
      <c r="B147" s="39"/>
      <c r="C147" s="40"/>
      <c r="D147" s="43"/>
      <c r="E147" s="41"/>
    </row>
    <row r="148" spans="1:5">
      <c r="A148" s="44"/>
      <c r="B148" s="45"/>
      <c r="C148" s="46"/>
      <c r="D148" s="46"/>
      <c r="E148" s="47"/>
    </row>
    <row r="149" spans="1:5">
      <c r="A149" s="48" t="s">
        <v>112</v>
      </c>
      <c r="B149" s="48"/>
      <c r="C149" s="48"/>
      <c r="D149" s="48"/>
      <c r="E149" s="48"/>
    </row>
  </sheetData>
  <mergeCells count="40">
    <mergeCell ref="A1:E1"/>
    <mergeCell ref="G1:K1"/>
    <mergeCell ref="A149:E149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{a3a89a44-494d-4a73-aafb-c1e96abdd0c0}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{76b7f713-8792-45e8-85e1-c292eaae9a39}</x14:id>
        </ext>
      </extLst>
    </cfRule>
  </conditionalFormatting>
  <conditionalFormatting sqref="D1:D18 D20:D23 D25:D26 D28:D42 D44:D45 D47:D48 D50:D51 D53 D55 D57:D60 D62:D64 D66:D73 D75:D92 D95:D98 D103:D148 D150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{5b9a4018-093f-4a1b-8acd-a47fdc2f81ff}</x14:id>
        </ext>
      </extLst>
    </cfRule>
  </conditionalFormatting>
  <conditionalFormatting sqref="I1:I18 I26:I1048576 I20:I24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{d0c3e341-e30e-45b1-9053-30a0847da470}</x14:id>
        </ext>
      </extLst>
    </cfRule>
  </conditionalFormatting>
  <conditionalFormatting sqref="I1:I14 I26:I1048576 I16:I18 I20:I24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{2f5ad379-8006-4912-a4c8-bfb3bc270001}</x14:id>
        </ext>
      </extLst>
    </cfRule>
  </conditionalFormatting>
  <conditionalFormatting sqref="I1:I14 I26:I1048576 I16:I18 I20:I23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{9d1ba638-a1a3-46fe-a2c0-2c4dd90c935d}</x14:id>
        </ext>
      </extLst>
    </cfRule>
  </conditionalFormatting>
  <conditionalFormatting sqref="I1:I24 I26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{e09b7592-7dd7-4687-919f-2162438a37b7}</x14:id>
        </ext>
      </extLst>
    </cfRule>
  </conditionalFormatting>
  <conditionalFormatting sqref="I2 I50:I1048576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{47693bc7-c3df-43e7-ae50-4c255c1dd0d7}</x14:id>
        </ext>
      </extLst>
    </cfRule>
  </conditionalFormatting>
  <conditionalFormatting sqref="I2:I6 I9:I14 I38:I1048576 I16:I18 I26:I36 I20:I23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{b4210962-ead4-49f1-a279-8954a3a63554}</x14:id>
        </ext>
      </extLst>
    </cfRule>
  </conditionalFormatting>
  <conditionalFormatting sqref="I2:I6 I9:I14 I38:I1048576 I18 I26:I36 I16 I20:I23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{2db4a1fa-9e3b-4f33-ae4a-0bffb45cad40}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6 I9 I11:I13 I18 I38:I39 I41:I46 I30:I32 I35:I36 I48:I49 I20:I23 I26 I28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{642b3ba4-d08d-42c6-9850-b34d428e251c}</x14:id>
        </ext>
      </extLst>
    </cfRule>
  </conditionalFormatting>
  <conditionalFormatting sqref="I3:I6 I9 I11:I13 I18 I38:I39 I41:I46 I30:I32 I35:I36 I48:I49 I20:I23 I28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{12d604db-7ad9-4a5c-becc-3436f8237bd8}</x14:id>
        </ext>
      </extLst>
    </cfRule>
  </conditionalFormatting>
  <conditionalFormatting sqref="I3:I6 I9 I11:I13 I18 I35:I36 I16 I38:I39 I30:I32 I48:I49 I41:I46 I20:I23 I26 I28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{c3b453bb-5798-43d5-a180-81c708b3fc3a}</x14:id>
        </ext>
      </extLst>
    </cfRule>
  </conditionalFormatting>
  <conditionalFormatting sqref="I3:I6 I9:I13 I18 I28:I33 I16 I35:I36 I41:I49 I38:I39 I20:I23 I26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{921189c0-7804-4782-8983-6353c7389125}</x14:id>
        </ext>
      </extLst>
    </cfRule>
  </conditionalFormatting>
  <conditionalFormatting sqref="I3:I6 I9:I13 I18 I35:I36 I16 I38:I39 I28:I32 I48:I49 I41:I46 I20:I23 I26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{aa9064ff-ed1c-477f-8fa6-ec2ff2673d28}</x14:id>
        </ext>
      </extLst>
    </cfRule>
  </conditionalFormatting>
  <conditionalFormatting sqref="I3:I6 I9:I14 I18 I26:I36 I16 I38:I49 I20:I23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{7fb8792a-0cd7-4f1a-9270-c418a0d2123d}</x14:id>
        </ext>
      </extLst>
    </cfRule>
  </conditionalFormatting>
  <conditionalFormatting sqref="I3:I6 I9:I14 I18 I38:I49 I16 I28:I36 I20:I23 I26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{387e8b30-4b60-4c2e-b233-d7b853e3d071}</x14:id>
        </ext>
      </extLst>
    </cfRule>
  </conditionalFormatting>
  <conditionalFormatting sqref="I3:I6 I9:I14 I16:I18 I38:I49 I26:I36 I20:I23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{ce42ac36-320e-4221-a5ee-769c6ac140d3}</x14:id>
        </ext>
      </extLst>
    </cfRule>
  </conditionalFormatting>
  <conditionalFormatting sqref="I3:I7 I9:I14 I16:I18 I26:I49 I20:I23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{dac606d2-c189-4909-abc3-177e7b03c7a9}</x14:id>
        </ext>
      </extLst>
    </cfRule>
  </conditionalFormatting>
  <conditionalFormatting sqref="I3:I7 I9:I14 I16:I18 I26:I36 I38:I49 I20:I23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{dc19a4fc-2a60-4090-81e7-0b20ec958218}</x14:id>
        </ext>
      </extLst>
    </cfRule>
  </conditionalFormatting>
  <conditionalFormatting sqref="I3:I24 I26:I49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{cfeaebc1-5b44-4c0e-9a83-65efeeb4df1d}</x14:id>
        </ext>
      </extLst>
    </cfRule>
  </conditionalFormatting>
  <pageMargins left="0.75" right="0.75" top="1" bottom="1" header="0.5" footer="0.5"/>
  <headerFooter/>
  <ignoredErrors>
    <ignoredError sqref="D3 D8:D108 E32:E49 E8:E3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3a89a44-494d-4a73-aafb-c1e96abdd0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76b7f713-8792-45e8-85e1-c292eaae9a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5b9a4018-093f-4a1b-8acd-a47fdc2f81f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d0c3e341-e30e-45b1-9053-30a0847da4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I26:I1048576 I20:I24</xm:sqref>
        </x14:conditionalFormatting>
        <x14:conditionalFormatting xmlns:xm="http://schemas.microsoft.com/office/excel/2006/main">
          <x14:cfRule type="dataBar" id="{2f5ad379-8006-4912-a4c8-bfb3bc2700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I1:I14 I26:I1048576 I16:I18 I20:I24</xm:sqref>
        </x14:conditionalFormatting>
        <x14:conditionalFormatting xmlns:xm="http://schemas.microsoft.com/office/excel/2006/main">
          <x14:cfRule type="dataBar" id="{9d1ba638-a1a3-46fe-a2c0-2c4dd90c93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I1:I14 I26:I1048576 I16:I18 I20:I23</xm:sqref>
        </x14:conditionalFormatting>
        <x14:conditionalFormatting xmlns:xm="http://schemas.microsoft.com/office/excel/2006/main">
          <x14:cfRule type="dataBar" id="{e09b7592-7dd7-4687-919f-2162438a37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I26:I1048576</xm:sqref>
        </x14:conditionalFormatting>
        <x14:conditionalFormatting xmlns:xm="http://schemas.microsoft.com/office/excel/2006/main">
          <x14:cfRule type="dataBar" id="{47693bc7-c3df-43e7-ae50-4c255c1dd0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I50:I1048576</xm:sqref>
        </x14:conditionalFormatting>
        <x14:conditionalFormatting xmlns:xm="http://schemas.microsoft.com/office/excel/2006/main">
          <x14:cfRule type="dataBar" id="{b4210962-ead4-49f1-a279-8954a3a635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I9:I14 I38:I1048576 I16:I18 I26:I36 I20:I23</xm:sqref>
        </x14:conditionalFormatting>
        <x14:conditionalFormatting xmlns:xm="http://schemas.microsoft.com/office/excel/2006/main">
          <x14:cfRule type="dataBar" id="{2db4a1fa-9e3b-4f33-ae4a-0bffb45ca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I9:I14 I38:I1048576 I18 I26:I36 I16 I20:I23</xm:sqref>
        </x14:conditionalFormatting>
        <x14:conditionalFormatting xmlns:xm="http://schemas.microsoft.com/office/excel/2006/main">
          <x14:cfRule type="dataBar" id="{642b3ba4-d08d-42c6-9850-b34d428e25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I11:I13 I18 I38:I39 I41:I46 I30:I32 I35:I36 I48:I49 I20:I23 I26 I28</xm:sqref>
        </x14:conditionalFormatting>
        <x14:conditionalFormatting xmlns:xm="http://schemas.microsoft.com/office/excel/2006/main">
          <x14:cfRule type="dataBar" id="{12d604db-7ad9-4a5c-becc-3436f8237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I11:I13 I18 I38:I39 I41:I46 I30:I32 I35:I36 I48:I49 I20:I23 I28</xm:sqref>
        </x14:conditionalFormatting>
        <x14:conditionalFormatting xmlns:xm="http://schemas.microsoft.com/office/excel/2006/main">
          <x14:cfRule type="dataBar" id="{c3b453bb-5798-43d5-a180-81c708b3fc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I11:I13 I18 I35:I36 I16 I38:I39 I30:I32 I48:I49 I41:I46 I20:I23 I26 I28</xm:sqref>
        </x14:conditionalFormatting>
        <x14:conditionalFormatting xmlns:xm="http://schemas.microsoft.com/office/excel/2006/main">
          <x14:cfRule type="dataBar" id="{921189c0-7804-4782-8983-6353c73891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I9:I13 I18 I28:I33 I16 I35:I36 I41:I49 I38:I39 I20:I23 I26</xm:sqref>
        </x14:conditionalFormatting>
        <x14:conditionalFormatting xmlns:xm="http://schemas.microsoft.com/office/excel/2006/main">
          <x14:cfRule type="dataBar" id="{aa9064ff-ed1c-477f-8fa6-ec2ff2673d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I9:I13 I18 I35:I36 I16 I38:I39 I28:I32 I48:I49 I41:I46 I20:I23 I26</xm:sqref>
        </x14:conditionalFormatting>
        <x14:conditionalFormatting xmlns:xm="http://schemas.microsoft.com/office/excel/2006/main">
          <x14:cfRule type="dataBar" id="{7fb8792a-0cd7-4f1a-9270-c418a0d21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I9:I14 I18 I26:I36 I16 I38:I49 I20:I23</xm:sqref>
        </x14:conditionalFormatting>
        <x14:conditionalFormatting xmlns:xm="http://schemas.microsoft.com/office/excel/2006/main">
          <x14:cfRule type="dataBar" id="{387e8b30-4b60-4c2e-b233-d7b853e3d0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I9:I14 I18 I38:I49 I16 I28:I36 I20:I23 I26</xm:sqref>
        </x14:conditionalFormatting>
        <x14:conditionalFormatting xmlns:xm="http://schemas.microsoft.com/office/excel/2006/main">
          <x14:cfRule type="dataBar" id="{ce42ac36-320e-4221-a5ee-769c6ac140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I9:I14 I16:I18 I38:I49 I26:I36 I20:I23</xm:sqref>
        </x14:conditionalFormatting>
        <x14:conditionalFormatting xmlns:xm="http://schemas.microsoft.com/office/excel/2006/main">
          <x14:cfRule type="dataBar" id="{dac606d2-c189-4909-abc3-177e7b03c7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I9:I14 I16:I18 I26:I49 I20:I23</xm:sqref>
        </x14:conditionalFormatting>
        <x14:conditionalFormatting xmlns:xm="http://schemas.microsoft.com/office/excel/2006/main">
          <x14:cfRule type="dataBar" id="{dc19a4fc-2a60-4090-81e7-0b20ec9582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I9:I14 I16:I18 I26:I36 I38:I49 I20:I23</xm:sqref>
        </x14:conditionalFormatting>
        <x14:conditionalFormatting xmlns:xm="http://schemas.microsoft.com/office/excel/2006/main">
          <x14:cfRule type="dataBar" id="{cfeaebc1-5b44-4c0e-9a83-65efeeb4df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I3:I24 I26:I49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2026-05-03T15:34:49Z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