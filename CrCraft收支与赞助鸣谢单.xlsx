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<sst xmlns="http://schemas.openxmlformats.org/spreadsheetml/2006/main" count="289" uniqueCount="114">
  <si>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</si>
  <si>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</si>
  <si>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</si>
  <si>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</si>
  <si>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</si>
  <si>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</si>
  <si>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</si>
  <si>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</si>
  <si>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</si>
  <si>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</si>
  <si>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</si>
  <si>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</si>
  <si>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</si>
  <si>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</si>
  <si>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</si>
  <si>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</si>
  <si>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</si>
  <si>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</si>
  <si>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</si>
  <si>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KIRINIT</t>
  </si>
  <si>
    <t>↑1</t>
  </si>
  <si>
    <t>zkiftie</t>
  </si>
  <si>
    <t>Disha_UUU2</t>
  </si>
  <si>
    <t>↓1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</si>
  <si>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</si>
  <si>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</si>
  <si>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</si>
  <si>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</si>
  <si>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</si>
  <si>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</si>
  <si>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</si>
  <si>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</si>
  <si>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</si>
  <si>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</si>
  <si>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</si>
  <si>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</si>
  <si>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</si>
  <si>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</si>
  <si>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</si>
  <si>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</si>
  <si>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</si>
  <si>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</si>
  <si>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</si>
  <si>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</si>
  <si>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</si>
  <si>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</si>
  <si>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</si>
  <si>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</si>
  <si>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</si>
  <si>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</si>
  <si>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</si>
  <si>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</si>
  <si>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</si>
  <si>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</si>
  <si>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</si>
  <si>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</si>
  <si>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</si>
  <si>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</si>
  <si>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</si>
  <si>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</si>
  <si>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</si>
  <si>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</si>
  <si>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</si>
  <si>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鞘翅、TP、电费、羊毛、村民、TNT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</si>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</sst>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5"/>
  <sheetViews>
    <sheetView tabSelected="1" workbookViewId="0">
      <pane ySplit="2" topLeftCell="A21" activePane="bottomLeft" state="frozen"/>
      <selection/>
      <selection pane="bottomLeft" activeCell="M40" sqref="M40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SUM(C44,C49,C51:C51,C53,C58:C58,C60:C60,C63,C66:C66,C68:C68,C70,C72:C72,C77,C91,C95,C125,C127,C136,C138,C141,C148,C150,C152)</f>
        <v>497</v>
      </c>
      <c r="J4" s="3">
        <v>46192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" t="s">
        <v>19</v>
      </c>
      <c r="I6" s="2">
        <f>SUM(C110:C110,C113,C116,C118,C129,C134,C142,C151,C153)</f>
        <v>260</v>
      </c>
      <c r="J6" s="3">
        <v>46193</v>
      </c>
      <c r="K6" t="s">
        <v>20</v>
      </c>
    </row>
    <row r="7" spans="1:11">
      <c r="A7" s="12"/>
      <c r="B7" s="8" t="s">
        <v>21</v>
      </c>
      <c r="C7" s="13">
        <v>1.28</v>
      </c>
      <c r="D7" s="14"/>
      <c r="E7" s="9"/>
      <c r="G7" s="15">
        <v>5</v>
      </c>
      <c r="H7" s="10" t="s">
        <v>22</v>
      </c>
      <c r="I7" s="16">
        <f>SUM(C11,C16,C29,C25,C62,C81:C81)</f>
        <v>239.66</v>
      </c>
      <c r="J7" s="3">
        <v>45829</v>
      </c>
      <c r="K7" t="s">
        <v>23</v>
      </c>
    </row>
    <row r="8" spans="1:11">
      <c r="A8" s="17">
        <v>44164</v>
      </c>
      <c r="B8" s="8" t="s">
        <v>24</v>
      </c>
      <c r="C8" s="13">
        <v>9</v>
      </c>
      <c r="D8" s="14">
        <f>SUM(C3:C8)</f>
        <v>24.83</v>
      </c>
      <c r="E8" s="9"/>
      <c r="G8" s="15">
        <v>6</v>
      </c>
      <c r="H8" s="10" t="s">
        <v>25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26</v>
      </c>
      <c r="C9" s="13">
        <v>0.1</v>
      </c>
      <c r="D9" s="14">
        <f>SUM(C3:C9)</f>
        <v>24.93</v>
      </c>
      <c r="E9" s="9"/>
      <c r="G9" s="15">
        <v>7</v>
      </c>
      <c r="H9" s="10" t="s">
        <v>27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28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22</v>
      </c>
      <c r="C11" s="13">
        <v>130</v>
      </c>
      <c r="D11" s="14">
        <f>SUM(C3:C11)</f>
        <v>193.93</v>
      </c>
      <c r="E11" s="9" t="s">
        <v>29</v>
      </c>
      <c r="G11" s="15">
        <v>9</v>
      </c>
      <c r="H11" s="10" t="s">
        <v>24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30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31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32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22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13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22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22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62</v>
      </c>
      <c r="I30" s="2">
        <v>5.04</v>
      </c>
      <c r="J30" s="3">
        <v>46160</v>
      </c>
    </row>
    <row r="31" spans="1:10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63</v>
      </c>
      <c r="G31">
        <v>29</v>
      </c>
      <c r="H31" s="10" t="s">
        <v>31</v>
      </c>
      <c r="I31" s="16">
        <v>5.02</v>
      </c>
      <c r="J31" s="3">
        <v>44787</v>
      </c>
    </row>
    <row r="32" spans="1:10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</row>
    <row r="36" spans="1:10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43</v>
      </c>
      <c r="I42" s="16">
        <v>1.32</v>
      </c>
      <c r="J42" s="3">
        <v>44958</v>
      </c>
    </row>
    <row r="43" spans="1:10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21</v>
      </c>
      <c r="I43" s="16">
        <v>1.28</v>
      </c>
      <c r="J43" s="3" t="s">
        <v>11</v>
      </c>
    </row>
    <row r="44" spans="1:10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49</v>
      </c>
      <c r="I44" s="16">
        <v>1.01</v>
      </c>
      <c r="J44" s="3">
        <v>45141</v>
      </c>
    </row>
    <row r="45" spans="1:10">
      <c r="A45" s="25">
        <v>45496</v>
      </c>
      <c r="B45" s="26" t="s">
        <v>24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</row>
    <row r="46" spans="1:10">
      <c r="A46" s="29"/>
      <c r="B46" s="26" t="s">
        <v>34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</row>
    <row r="47" spans="1:10">
      <c r="A47" s="17">
        <v>45497</v>
      </c>
      <c r="B47" s="26" t="s">
        <v>24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</row>
    <row r="48" spans="1:10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</row>
    <row r="49" spans="1:10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47</v>
      </c>
      <c r="I49" s="16">
        <v>0.11</v>
      </c>
      <c r="J49" s="3">
        <v>45140</v>
      </c>
    </row>
    <row r="50" spans="1:10">
      <c r="A50" s="25">
        <v>45505</v>
      </c>
      <c r="B50" s="26" t="s">
        <v>24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26</v>
      </c>
      <c r="I50" s="16">
        <v>0.1</v>
      </c>
      <c r="J50" s="3">
        <v>44213</v>
      </c>
    </row>
    <row r="51" spans="1:10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27</v>
      </c>
      <c r="C52" s="27">
        <v>86</v>
      </c>
      <c r="D52" s="30"/>
      <c r="E52" s="28" t="s">
        <v>88</v>
      </c>
    </row>
    <row r="53" spans="1:10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0">
      <c r="A56" s="31"/>
      <c r="B56" s="26" t="s">
        <v>34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0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0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88</v>
      </c>
    </row>
    <row r="62" spans="1:10">
      <c r="A62" s="31">
        <v>45551</v>
      </c>
      <c r="B62" s="33" t="s">
        <v>22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27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34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22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28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28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28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28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19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28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19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19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19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28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25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25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28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25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25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19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25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32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19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19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32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32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62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15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19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15</v>
      </c>
      <c r="C152" s="27">
        <v>20</v>
      </c>
      <c r="D152" s="21">
        <f>SUM(C3:C152)</f>
        <v>-2994.11</v>
      </c>
      <c r="E152" s="34" t="s">
        <v>69</v>
      </c>
    </row>
    <row r="153" spans="1:5">
      <c r="A153" s="37">
        <v>46193</v>
      </c>
      <c r="B153" s="38" t="s">
        <v>19</v>
      </c>
      <c r="C153" s="39">
        <v>50</v>
      </c>
      <c r="D153" s="21">
        <f>SUM(C3:C153)</f>
        <v>-2944.11</v>
      </c>
      <c r="E153" s="40"/>
    </row>
    <row r="154" ht="14.25" spans="1:5">
      <c r="A154" s="41"/>
      <c r="B154" s="42"/>
      <c r="C154" s="43"/>
      <c r="D154" s="43"/>
      <c r="E154" s="44"/>
    </row>
    <row r="155" spans="1:5">
      <c r="A155" s="45" t="s">
        <v>113</v>
      </c>
      <c r="B155" s="45"/>
      <c r="C155" s="45"/>
      <c r="D155" s="45"/>
      <c r="E155" s="45"/>
    </row>
  </sheetData>
  <mergeCells count="40">
    <mergeCell ref="A1:E1"/>
    <mergeCell ref="G1:K1"/>
    <mergeCell ref="A155:E155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{98a94f9c-e0c3-4870-adac-f2367bfd30b1}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{ff01631d-39c9-4c9f-bfc5-bba5bec48ea1}</x14:id>
        </ext>
      </extLst>
    </cfRule>
  </conditionalFormatting>
  <conditionalFormatting sqref="D1:D18 D20:D23 D25:D26 D28:D42 D44:D45 D47:D48 D50:D51 D53 D55 D57:D60 D62:D64 D66:D73 D75:D92 D95:D98 D103:D154 D156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{86a41523-3f0d-4c7b-948f-419a27183af5}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{bd849766-44d4-4525-b1e4-5a48fdccd65e}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{7f6ce5aa-7bdc-418d-a6a1-e7c6818c589c}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{8e898cec-500c-4080-9cbe-38899be16c06}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{0e2c7e0f-8bb5-42f0-a174-dbfbe7ae683b}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{c93b6b46-28f5-4cd2-aa8d-b6c797d31cf1}</x14:id>
        </ext>
      </extLst>
    </cfRule>
  </conditionalFormatting>
  <conditionalFormatting sqref="I2:I5 I39:I1048576 I9:I12 I14:I18 I20:I23 I26:I37 I7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{c715dd4e-a1a8-4450-84a1-294245efb383}</x14:id>
        </ext>
      </extLst>
    </cfRule>
  </conditionalFormatting>
  <conditionalFormatting sqref="I2:I5 I39:I1048576 I9:I12 I14:I16 I18 I20:I23 I26:I37 I7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{58db08af-b63e-44a7-a054-279b5ee1b5db}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5 I39:I40 I9 I11:I12 I28 I18 I14 I26 I20:I23 I49:I50 I36:I37 I31:I33 I42:I47 I7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{8d32aa55-f044-437d-b59b-54f9c7916967}</x14:id>
        </ext>
      </extLst>
    </cfRule>
  </conditionalFormatting>
  <conditionalFormatting sqref="I3:I5 I39:I40 I9 I11:I12 I28 I18 I14 I20:I23 I49:I50 I36:I37 I31:I33 I42:I47 I7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{f327f583-e5b7-4900-988b-c80741b2f08d}</x14:id>
        </ext>
      </extLst>
    </cfRule>
  </conditionalFormatting>
  <conditionalFormatting sqref="I3:I5 I36:I37 I9 I11:I12 I28 I18 I14 I16 I26 I20:I23 I42:I47 I49:I50 I31:I33 I39:I40 I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{9b086bb2-6dd0-427d-b3d3-7fcb7bf1cfa5}</x14:id>
        </ext>
      </extLst>
    </cfRule>
  </conditionalFormatting>
  <conditionalFormatting sqref="I3:I5 I31:I34 I9:I12 I26 I18 I28:I29 I14 I16 I20:I23 I39:I40 I42:I50 I36:I37 I7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{60ec178e-31ef-4f64-ab1d-0eebd9a6bf6b}</x14:id>
        </ext>
      </extLst>
    </cfRule>
  </conditionalFormatting>
  <conditionalFormatting sqref="I3:I5 I36:I37 I9:I12 I26 I18 I14 I16 I20:I23 I28:I29 I42:I47 I49:I50 I31:I33 I39:I40 I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{1291ca00-67bd-412a-89b5-54c1a6af1fb2}</x14:id>
        </ext>
      </extLst>
    </cfRule>
  </conditionalFormatting>
  <conditionalFormatting sqref="I3:I5 I31:I37 I9:I12 I20:I23 I18 I26:I29 I14:I16 I39:I50 I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{af1e29ee-bc5d-4681-a745-b361abd42c49}</x14:id>
        </ext>
      </extLst>
    </cfRule>
  </conditionalFormatting>
  <conditionalFormatting sqref="I3:I5 I31:I37 I9:I12 I26 I18 I20:I23 I14:I16 I28:I29 I39:I50 I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{cf4fe5e7-b1b8-44be-b8fc-6e3f21bd54da}</x14:id>
        </ext>
      </extLst>
    </cfRule>
  </conditionalFormatting>
  <conditionalFormatting sqref="I3:I5 I39:I50 I9:I12 I20:I23 I14:I18 I26:I29 I31:I37 I7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{2e577af9-f0b7-4600-a7fd-a88c0ecf8126}</x14:id>
        </ext>
      </extLst>
    </cfRule>
  </conditionalFormatting>
  <conditionalFormatting sqref="I3:I7 I31:I50 I9:I12 I20:I23 I14:I18 I26:I2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{8525fa08-37b2-48c0-a29f-38a9fdf3ef8b}</x14:id>
        </ext>
      </extLst>
    </cfRule>
  </conditionalFormatting>
  <conditionalFormatting sqref="I3:I7 I31:I37 I9:I12 I20:I23 I14:I18 I26:I29 I39:I50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{a386a4b5-2781-420c-baa8-7a2d6f97403f}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{861a1f09-eddf-4662-b10c-6fa755587ec5}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a94f9c-e0c3-4870-adac-f2367bfd30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ff01631d-39c9-4c9f-bfc5-bba5bec48e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86a41523-3f0d-4c7b-948f-419a27183a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bd849766-44d4-4525-b1e4-5a48fdccd6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7f6ce5aa-7bdc-418d-a6a1-e7c6818c58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8e898cec-500c-4080-9cbe-38899be16c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0e2c7e0f-8bb5-42f0-a174-dbfbe7ae68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c93b6b46-28f5-4cd2-aa8d-b6c797d31c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c715dd4e-a1a8-4450-84a1-294245efb3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I39:I1048576 I9:I12 I14:I18 I20:I23 I26:I37 I7</xm:sqref>
        </x14:conditionalFormatting>
        <x14:conditionalFormatting xmlns:xm="http://schemas.microsoft.com/office/excel/2006/main">
          <x14:cfRule type="dataBar" id="{58db08af-b63e-44a7-a054-279b5ee1b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I39:I1048576 I9:I12 I14:I16 I18 I20:I23 I26:I37 I7</xm:sqref>
        </x14:conditionalFormatting>
        <x14:conditionalFormatting xmlns:xm="http://schemas.microsoft.com/office/excel/2006/main">
          <x14:cfRule type="dataBar" id="{8d32aa55-f044-437d-b59b-54f9c79169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I39:I40 I9 I11:I12 I28 I18 I14 I26 I20:I23 I49:I50 I36:I37 I31:I33 I42:I47 I7</xm:sqref>
        </x14:conditionalFormatting>
        <x14:conditionalFormatting xmlns:xm="http://schemas.microsoft.com/office/excel/2006/main">
          <x14:cfRule type="dataBar" id="{f327f583-e5b7-4900-988b-c80741b2f0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I39:I40 I9 I11:I12 I28 I18 I14 I20:I23 I49:I50 I36:I37 I31:I33 I42:I47 I7</xm:sqref>
        </x14:conditionalFormatting>
        <x14:conditionalFormatting xmlns:xm="http://schemas.microsoft.com/office/excel/2006/main">
          <x14:cfRule type="dataBar" id="{9b086bb2-6dd0-427d-b3d3-7fcb7bf1cf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I36:I37 I9 I11:I12 I28 I18 I14 I16 I26 I20:I23 I42:I47 I49:I50 I31:I33 I39:I40 I7</xm:sqref>
        </x14:conditionalFormatting>
        <x14:conditionalFormatting xmlns:xm="http://schemas.microsoft.com/office/excel/2006/main">
          <x14:cfRule type="dataBar" id="{60ec178e-31ef-4f64-ab1d-0eebd9a6bf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I31:I34 I9:I12 I26 I18 I28:I29 I14 I16 I20:I23 I39:I40 I42:I50 I36:I37 I7</xm:sqref>
        </x14:conditionalFormatting>
        <x14:conditionalFormatting xmlns:xm="http://schemas.microsoft.com/office/excel/2006/main">
          <x14:cfRule type="dataBar" id="{1291ca00-67bd-412a-89b5-54c1a6af1f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I36:I37 I9:I12 I26 I18 I14 I16 I20:I23 I28:I29 I42:I47 I49:I50 I31:I33 I39:I40 I7</xm:sqref>
        </x14:conditionalFormatting>
        <x14:conditionalFormatting xmlns:xm="http://schemas.microsoft.com/office/excel/2006/main">
          <x14:cfRule type="dataBar" id="{af1e29ee-bc5d-4681-a745-b361abd42c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I31:I37 I9:I12 I20:I23 I18 I26:I29 I14:I16 I39:I50 I7</xm:sqref>
        </x14:conditionalFormatting>
        <x14:conditionalFormatting xmlns:xm="http://schemas.microsoft.com/office/excel/2006/main">
          <x14:cfRule type="dataBar" id="{cf4fe5e7-b1b8-44be-b8fc-6e3f21bd54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I31:I37 I9:I12 I26 I18 I20:I23 I14:I16 I28:I29 I39:I50 I7</xm:sqref>
        </x14:conditionalFormatting>
        <x14:conditionalFormatting xmlns:xm="http://schemas.microsoft.com/office/excel/2006/main">
          <x14:cfRule type="dataBar" id="{2e577af9-f0b7-4600-a7fd-a88c0ecf81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I3:I5 I39:I50 I9:I12 I20:I23 I14:I18 I26:I29 I31:I37 I7</xm:sqref>
        </x14:conditionalFormatting>
        <x14:conditionalFormatting xmlns:xm="http://schemas.microsoft.com/office/excel/2006/main">
          <x14:cfRule type="dataBar" id="{8525fa08-37b2-48c0-a29f-38a9fdf3e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I31:I50 I9:I12 I20:I23 I14:I18 I26:I29</xm:sqref>
        </x14:conditionalFormatting>
        <x14:conditionalFormatting xmlns:xm="http://schemas.microsoft.com/office/excel/2006/main">
          <x14:cfRule type="dataBar" id="{a386a4b5-2781-420c-baa8-7a2d6f9740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I31:I37 I9:I12 I20:I23 I14:I18 I26:I29 I39:I50</xm:sqref>
        </x14:conditionalFormatting>
        <x14:conditionalFormatting xmlns:xm="http://schemas.microsoft.com/office/excel/2006/main">
          <x14:cfRule type="dataBar" id="{861a1f09-eddf-4662-b10c-6fa755587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2026-06-19T17:42:27Z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