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<sst xmlns="http://schemas.openxmlformats.org/spreadsheetml/2006/main" count="297" uniqueCount="114">
  <si>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</si>
  <si>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</si>
  <si>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</si>
  <si>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</si>
  <si>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</si>
  <si>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</si>
  <si>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</si>
  <si>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</si>
  <si>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</si>
  <si>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</si>
  <si>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</si>
  <si>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</si>
  <si>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</si>
  <si>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</si>
  <si>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MoFangYa_</t>
  </si>
  <si>
    <t>Celi2357</t>
  </si>
  <si>
    <t>BYyihan</t>
  </si>
  <si>
    <t>qmzp_</t>
  </si>
  <si>
    <t>Mtve</t>
  </si>
  <si>
    <t>KIRINIT</t>
  </si>
  <si>
    <t>zkiftie</t>
  </si>
  <si>
    <t>Disha_UUU2</t>
  </si>
  <si>
    <t>_LoveSelf_</t>
  </si>
  <si>
    <t>dog</t>
  </si>
  <si>
    <t>NGZI</t>
  </si>
  <si>
    <t>Guramchik</t>
  </si>
  <si>
    <t>Press_on</t>
  </si>
  <si>
    <t>↑3</t>
  </si>
  <si>
    <t>用于购买内存条</t>
  </si>
  <si>
    <t>partyking1145</t>
  </si>
  <si>
    <t>↓1</t>
  </si>
  <si>
    <t>购买内存条</t>
  </si>
  <si>
    <t>xiaoshenjin233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</si>
  <si>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</si>
  <si>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</si>
  <si>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</si>
  <si>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</si>
  <si>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</si>
  <si>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</si>
  <si>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</si>
  <si>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</si>
  <si>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</si>
  <si>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</si>
  <si>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</si>
  <si>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</si>
  <si>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</si>
  <si>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</si>
  <si>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</si>
  <si>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</si>
  <si>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</si>
  <si>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</si>
  <si>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</si>
  <si>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</si>
  <si>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</si>
  <si>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</si>
  <si>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</si>
  <si>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</si>
  <si>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</si>
  <si>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</si>
  <si>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</si>
  <si>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</si>
  <si>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</si>
  <si>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</si>
  <si>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鞘翅、TP、电费、羊毛、村民、TNT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</si>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</sst>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8"/>
  <sheetViews>
    <sheetView tabSelected="1" workbookViewId="0">
      <pane ySplit="2" topLeftCell="A3" activePane="bottomLeft" state="frozen"/>
      <selection/>
      <selection pane="bottomLeft" activeCell="J3" sqref="J3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SUM(C44,C49,C51:C51,C53,C58:C58,C60:C60,C63,C66:C66,C68:C68,C70,C72:C72,C77,C91,C95,C125,C127,C136,C138,C141,C148,C150,C152,C154,C156)</f>
        <v>517</v>
      </c>
      <c r="J3" s="3">
        <v>46201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SUM(C10,C15,C18:C18,C21:C21,C24,C31:C31,C36,C43,C88,C90,C114)</f>
        <v>504.2</v>
      </c>
      <c r="J4" s="3">
        <v>45975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" t="s">
        <v>19</v>
      </c>
      <c r="I6" s="2">
        <f>SUM(C110:C110,C113,C116,C118,C129,C134,C142,C151,C153)</f>
        <v>260</v>
      </c>
      <c r="J6" s="3">
        <v>46193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0" t="s">
        <v>21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15</v>
      </c>
      <c r="C10" s="13">
        <v>39</v>
      </c>
      <c r="D10" s="14">
        <f>SUM(C3:C10)</f>
        <v>63.93</v>
      </c>
      <c r="E10" s="9"/>
      <c r="G10" s="15">
        <v>8</v>
      </c>
      <c r="H10" s="1" t="s">
        <v>26</v>
      </c>
      <c r="I10" s="2">
        <f>SUM(C133,C143,C147,C155)</f>
        <v>63.32</v>
      </c>
      <c r="J10" s="3">
        <v>46196</v>
      </c>
      <c r="K10" t="s">
        <v>27</v>
      </c>
    </row>
    <row r="11" spans="1:11">
      <c r="A11" s="17">
        <v>44781</v>
      </c>
      <c r="B11" s="8" t="s">
        <v>21</v>
      </c>
      <c r="C11" s="13">
        <v>130</v>
      </c>
      <c r="D11" s="14">
        <f>SUM(C3:C11)</f>
        <v>193.93</v>
      </c>
      <c r="E11" s="9" t="s">
        <v>28</v>
      </c>
      <c r="G11" s="15">
        <v>9</v>
      </c>
      <c r="H11" s="10" t="s">
        <v>29</v>
      </c>
      <c r="I11" s="2">
        <f>SUM(C86,C101,C105,C107,C112,C119,C124)</f>
        <v>52.01</v>
      </c>
      <c r="J11" s="3">
        <v>46047</v>
      </c>
      <c r="K11" t="s">
        <v>30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31</v>
      </c>
      <c r="G12" s="15">
        <v>10</v>
      </c>
      <c r="H12" s="10" t="s">
        <v>22</v>
      </c>
      <c r="I12" s="16">
        <f>SUM(C8:C8,C47,C45,C50:C50)</f>
        <v>49</v>
      </c>
      <c r="J12" s="3">
        <v>45505</v>
      </c>
      <c r="K12" t="s">
        <v>30</v>
      </c>
    </row>
    <row r="13" spans="1:11">
      <c r="A13" s="17">
        <v>44787</v>
      </c>
      <c r="B13" s="8" t="s">
        <v>32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  <c r="K13" t="s">
        <v>30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15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21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15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0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15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0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0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0">
      <c r="A24" s="17"/>
      <c r="B24" s="8" t="s">
        <v>15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0">
      <c r="A25" s="17">
        <v>45160</v>
      </c>
      <c r="B25" s="8" t="s">
        <v>21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0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</row>
    <row r="28" spans="1:10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</row>
    <row r="29" spans="1:10">
      <c r="A29" s="17">
        <v>45305</v>
      </c>
      <c r="B29" s="8" t="s">
        <v>21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</row>
    <row r="30" spans="1:10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62</v>
      </c>
      <c r="I30" s="2">
        <v>5.04</v>
      </c>
      <c r="J30" s="3">
        <v>46160</v>
      </c>
    </row>
    <row r="31" spans="1:10">
      <c r="A31" s="17">
        <v>45341</v>
      </c>
      <c r="B31" s="8" t="s">
        <v>15</v>
      </c>
      <c r="C31" s="13">
        <v>68</v>
      </c>
      <c r="D31" s="14">
        <f>SUM(C3:C31)</f>
        <v>-272.11</v>
      </c>
      <c r="E31" s="9" t="s">
        <v>63</v>
      </c>
      <c r="G31">
        <v>29</v>
      </c>
      <c r="H31" s="10" t="s">
        <v>32</v>
      </c>
      <c r="I31" s="16">
        <v>5.02</v>
      </c>
      <c r="J31" s="3">
        <v>44787</v>
      </c>
    </row>
    <row r="32" spans="1:10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</row>
    <row r="36" spans="1:10">
      <c r="A36" s="17">
        <v>45403</v>
      </c>
      <c r="B36" s="8" t="s">
        <v>15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</row>
    <row r="40" spans="1:10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43</v>
      </c>
      <c r="I42" s="16">
        <v>1.32</v>
      </c>
      <c r="J42" s="3">
        <v>44958</v>
      </c>
    </row>
    <row r="43" spans="1:10">
      <c r="A43" s="17"/>
      <c r="B43" s="8" t="s">
        <v>15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</row>
    <row r="44" spans="1:10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49</v>
      </c>
      <c r="I44" s="16">
        <v>1.01</v>
      </c>
      <c r="J44" s="3">
        <v>45141</v>
      </c>
    </row>
    <row r="45" spans="1:10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</row>
    <row r="46" spans="1:10">
      <c r="A46" s="29"/>
      <c r="B46" s="26" t="s">
        <v>34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</row>
    <row r="47" spans="1:10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</row>
    <row r="48" spans="1:10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</row>
    <row r="49" spans="1:10">
      <c r="A49" s="31"/>
      <c r="B49" s="26" t="s">
        <v>13</v>
      </c>
      <c r="C49" s="27">
        <v>5</v>
      </c>
      <c r="D49" s="30"/>
      <c r="E49" s="28" t="s">
        <v>69</v>
      </c>
      <c r="G49">
        <v>47</v>
      </c>
      <c r="H49" s="10" t="s">
        <v>47</v>
      </c>
      <c r="I49" s="16">
        <v>0.11</v>
      </c>
      <c r="J49" s="3">
        <v>45140</v>
      </c>
    </row>
    <row r="50" spans="1:10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</row>
    <row r="51" spans="1:10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25</v>
      </c>
      <c r="C52" s="27">
        <v>86</v>
      </c>
      <c r="D52" s="30"/>
      <c r="E52" s="28" t="s">
        <v>88</v>
      </c>
    </row>
    <row r="53" spans="1:10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17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0">
      <c r="A56" s="31"/>
      <c r="B56" s="26" t="s">
        <v>34</v>
      </c>
      <c r="C56" s="27">
        <v>10</v>
      </c>
      <c r="D56" s="30"/>
      <c r="E56" s="28"/>
    </row>
    <row r="57" spans="1:10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0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0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0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17</v>
      </c>
      <c r="C61" s="27">
        <v>20</v>
      </c>
      <c r="D61" s="30"/>
      <c r="E61" s="28" t="s">
        <v>88</v>
      </c>
    </row>
    <row r="62" spans="1:10">
      <c r="A62" s="31">
        <v>45551</v>
      </c>
      <c r="B62" s="33" t="s">
        <v>21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34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21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29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15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15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29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29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29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19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29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19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15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19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19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29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29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19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26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19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19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26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26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62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25">
        <v>46184</v>
      </c>
      <c r="B151" s="33" t="s">
        <v>19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69</v>
      </c>
    </row>
    <row r="153" spans="1:5">
      <c r="A153" s="25">
        <v>46193</v>
      </c>
      <c r="B153" s="33" t="s">
        <v>19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13</v>
      </c>
      <c r="C154" s="27">
        <v>10</v>
      </c>
      <c r="D154" s="21">
        <f>SUM(C3:C154)</f>
        <v>-2934.11</v>
      </c>
      <c r="E154" s="34" t="s">
        <v>69</v>
      </c>
    </row>
    <row r="155" spans="1:5">
      <c r="A155" s="25">
        <v>46196</v>
      </c>
      <c r="B155" s="33" t="s">
        <v>26</v>
      </c>
      <c r="C155" s="27">
        <v>25</v>
      </c>
      <c r="D155" s="21">
        <f>SUM(C3:C155)</f>
        <v>-2909.11</v>
      </c>
      <c r="E155" s="34" t="s">
        <v>107</v>
      </c>
    </row>
    <row r="156" spans="1:5">
      <c r="A156" s="37">
        <v>46201</v>
      </c>
      <c r="B156" s="38" t="s">
        <v>13</v>
      </c>
      <c r="C156" s="39">
        <v>10</v>
      </c>
      <c r="D156" s="21">
        <f>SUM(C3:C156)</f>
        <v>-2899.11</v>
      </c>
      <c r="E156" s="40" t="s">
        <v>69</v>
      </c>
    </row>
    <row r="157" ht="14.25" spans="1:5">
      <c r="A157" s="41"/>
      <c r="B157" s="42"/>
      <c r="C157" s="43"/>
      <c r="D157" s="43"/>
      <c r="E157" s="44"/>
    </row>
    <row r="158" spans="1:5">
      <c r="A158" s="45" t="s">
        <v>113</v>
      </c>
      <c r="B158" s="45"/>
      <c r="C158" s="45"/>
      <c r="D158" s="45"/>
      <c r="E158" s="45"/>
    </row>
  </sheetData>
  <mergeCells count="41">
    <mergeCell ref="A1:E1"/>
    <mergeCell ref="G1:K1"/>
    <mergeCell ref="A158:E158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{33adc75a-1da8-4c89-8af6-be661affc362}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{08747732-96ba-437d-b06e-ac4d0a43a89f}</x14:id>
        </ext>
      </extLst>
    </cfRule>
  </conditionalFormatting>
  <conditionalFormatting sqref="D1:D18 D20:D23 D25:D26 D28:D42 D44:D45 D47:D48 D50:D51 D53 D55 D57:D60 D62:D64 D66:D73 D75:D92 D95:D98 D103:D157 D159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{8e4be11a-2955-4b07-a67c-aa0f15ef676b}</x14:id>
        </ext>
      </extLst>
    </cfRule>
  </conditionalFormatting>
  <conditionalFormatting sqref="I1:I9 I20:I24 I26:I1048576 I11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{5962f722-d975-4bad-9150-ee9898402e5d}</x14:id>
        </ext>
      </extLst>
    </cfRule>
  </conditionalFormatting>
  <conditionalFormatting sqref="I1:I9 I20:I23 I26:I1048576 I11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{336e8abd-523f-46c9-b964-8d532a0987d1}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{c6869f4e-0209-49c4-b055-60e0d3360ca8}</x14:id>
        </ext>
      </extLst>
    </cfRule>
  </conditionalFormatting>
  <conditionalFormatting sqref="I1:I18 I20:I24 I26:I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{ab480e2a-3682-42e4-8362-f7dce5df0422}</x14:id>
        </ext>
      </extLst>
    </cfRule>
  </conditionalFormatting>
  <conditionalFormatting sqref="I2 I30 I51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{f7947776-ef49-4a82-833c-e3af790aa7c0}</x14:id>
        </ext>
      </extLst>
    </cfRule>
  </conditionalFormatting>
  <conditionalFormatting sqref="I2:I5 I26:I37 I9 I7 I39:I1048576 I11:I18 I20:I2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{c6edb7a5-6f88-4f3c-a328-d682bd1f1233}</x14:id>
        </ext>
      </extLst>
    </cfRule>
  </conditionalFormatting>
  <conditionalFormatting sqref="I2:I5 I9 I26:I37 I11:I16 I39:I1048576 I7 I18 I20:I2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{07255bb7-df68-4ba5-b4fa-ed506670b08c}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2:I47 I3:I5 I7 I39:I40 I9 I31:I33 I28 I18 I12:I14 I26 I20:I23 I49:I50 I36:I37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{9cd0042e-9a76-4489-9b6f-fa9308406915}</x14:id>
        </ext>
      </extLst>
    </cfRule>
  </conditionalFormatting>
  <conditionalFormatting sqref="I42:I47 I3:I5 I7 I39:I40 I9 I31:I33 I28 I18 I12:I14 I20:I23 I49:I50 I36:I37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{1cc9fd38-332e-476b-8755-b2bccd0a4c16}</x14:id>
        </ext>
      </extLst>
    </cfRule>
  </conditionalFormatting>
  <conditionalFormatting sqref="I39:I40 I3:I5 I7 I36:I37 I9 I31:I33 I28 I18 I12:I14 I16 I26 I20:I23 I42:I47 I49:I50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{f918c27e-9787-4173-9a4b-ecb91226b81b}</x14:id>
        </ext>
      </extLst>
    </cfRule>
  </conditionalFormatting>
  <conditionalFormatting sqref="I36:I37 I3:I5 I7 I31:I34 I9 I42:I50 I26 I18 I28:I29 I11:I14 I16 I20:I23 I39:I40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{de961f03-d81d-4f0d-983e-f7014e42cee9}</x14:id>
        </ext>
      </extLst>
    </cfRule>
  </conditionalFormatting>
  <conditionalFormatting sqref="I39:I40 I3:I5 I7 I36:I37 I9 I31:I33 I26 I18 I11:I14 I16 I20:I23 I28:I29 I42:I47 I49:I50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{e502e735-a49d-461d-ba73-52d9f1da1119}</x14:id>
        </ext>
      </extLst>
    </cfRule>
  </conditionalFormatting>
  <conditionalFormatting sqref="I39:I50 I3:I5 I7 I31:I37 I9 I11:I16 I20:I23 I18 I26:I29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{428af9ff-2b72-4c38-bf03-b09ed5caac37}</x14:id>
        </ext>
      </extLst>
    </cfRule>
  </conditionalFormatting>
  <conditionalFormatting sqref="I39:I50 I3:I5 I7 I31:I37 I9 I28:I29 I26 I18 I20:I23 I11:I16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{7e48ffe1-d53c-4fbe-879a-d2ecbadeac9c}</x14:id>
        </ext>
      </extLst>
    </cfRule>
  </conditionalFormatting>
  <conditionalFormatting sqref="I31:I37 I3:I5 I7 I39:I50 I9 I26:I29 I20:I23 I11:I18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{92f40775-060c-4e6b-a0e6-8044f636cd3d}</x14:id>
        </ext>
      </extLst>
    </cfRule>
  </conditionalFormatting>
  <conditionalFormatting sqref="I11:I18 I3:I7 I26:I29 I31:I50 I9 I20:I2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{66ffbc46-b2a6-415a-a8a5-b25806b9abe6}</x14:id>
        </ext>
      </extLst>
    </cfRule>
  </conditionalFormatting>
  <conditionalFormatting sqref="I26:I29 I3:I7 I39:I50 I31:I37 I9 I11:I18 I20:I23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{4ab18667-8c3d-427f-8900-2766c2064f78}</x14:id>
        </ext>
      </extLst>
    </cfRule>
  </conditionalFormatting>
  <conditionalFormatting sqref="I26:I29 I3:I24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{a37001fe-dc87-454a-87ee-11c29720151c}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adc75a-1da8-4c89-8af6-be661affc3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08747732-96ba-437d-b06e-ac4d0a43a8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8e4be11a-2955-4b07-a67c-aa0f15ef67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5962f722-d975-4bad-9150-ee9898402e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I20:I24 I26:I1048576 I11:I18</xm:sqref>
        </x14:conditionalFormatting>
        <x14:conditionalFormatting xmlns:xm="http://schemas.microsoft.com/office/excel/2006/main">
          <x14:cfRule type="dataBar" id="{336e8abd-523f-46c9-b964-8d532a0987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I20:I23 I26:I1048576 I11:I18</xm:sqref>
        </x14:conditionalFormatting>
        <x14:conditionalFormatting xmlns:xm="http://schemas.microsoft.com/office/excel/2006/main">
          <x14:cfRule type="dataBar" id="{c6869f4e-0209-49c4-b055-60e0d3360c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ab480e2a-3682-42e4-8362-f7dce5df04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I26:I1048576</xm:sqref>
        </x14:conditionalFormatting>
        <x14:conditionalFormatting xmlns:xm="http://schemas.microsoft.com/office/excel/2006/main">
          <x14:cfRule type="dataBar" id="{f7947776-ef49-4a82-833c-e3af790aa7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I30 I51:I1048576</xm:sqref>
        </x14:conditionalFormatting>
        <x14:conditionalFormatting xmlns:xm="http://schemas.microsoft.com/office/excel/2006/main">
          <x14:cfRule type="dataBar" id="{c6edb7a5-6f88-4f3c-a328-d682bd1f12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I26:I37 I9 I7 I39:I1048576 I11:I18 I20:I23</xm:sqref>
        </x14:conditionalFormatting>
        <x14:conditionalFormatting xmlns:xm="http://schemas.microsoft.com/office/excel/2006/main">
          <x14:cfRule type="dataBar" id="{07255bb7-df68-4ba5-b4fa-ed506670b0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I9 I26:I37 I11:I16 I39:I1048576 I7 I18 I20:I23</xm:sqref>
        </x14:conditionalFormatting>
        <x14:conditionalFormatting xmlns:xm="http://schemas.microsoft.com/office/excel/2006/main">
          <x14:cfRule type="dataBar" id="{9cd0042e-9a76-4489-9b6f-fa93084069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I42:I47 I3:I5 I7 I39:I40 I9 I31:I33 I28 I18 I12:I14 I26 I20:I23 I49:I50 I36:I37</xm:sqref>
        </x14:conditionalFormatting>
        <x14:conditionalFormatting xmlns:xm="http://schemas.microsoft.com/office/excel/2006/main">
          <x14:cfRule type="dataBar" id="{1cc9fd38-332e-476b-8755-b2bccd0a4c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I42:I47 I3:I5 I7 I39:I40 I9 I31:I33 I28 I18 I12:I14 I20:I23 I49:I50 I36:I37</xm:sqref>
        </x14:conditionalFormatting>
        <x14:conditionalFormatting xmlns:xm="http://schemas.microsoft.com/office/excel/2006/main">
          <x14:cfRule type="dataBar" id="{f918c27e-9787-4173-9a4b-ecb91226b8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I39:I40 I3:I5 I7 I36:I37 I9 I31:I33 I28 I18 I12:I14 I16 I26 I20:I23 I42:I47 I49:I50</xm:sqref>
        </x14:conditionalFormatting>
        <x14:conditionalFormatting xmlns:xm="http://schemas.microsoft.com/office/excel/2006/main">
          <x14:cfRule type="dataBar" id="{de961f03-d81d-4f0d-983e-f7014e42ce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I36:I37 I3:I5 I7 I31:I34 I9 I42:I50 I26 I18 I28:I29 I11:I14 I16 I20:I23 I39:I40</xm:sqref>
        </x14:conditionalFormatting>
        <x14:conditionalFormatting xmlns:xm="http://schemas.microsoft.com/office/excel/2006/main">
          <x14:cfRule type="dataBar" id="{e502e735-a49d-461d-ba73-52d9f1da11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I39:I40 I3:I5 I7 I36:I37 I9 I31:I33 I26 I18 I11:I14 I16 I20:I23 I28:I29 I42:I47 I49:I50</xm:sqref>
        </x14:conditionalFormatting>
        <x14:conditionalFormatting xmlns:xm="http://schemas.microsoft.com/office/excel/2006/main">
          <x14:cfRule type="dataBar" id="{428af9ff-2b72-4c38-bf03-b09ed5caac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I39:I50 I3:I5 I7 I31:I37 I9 I11:I16 I20:I23 I18 I26:I29</xm:sqref>
        </x14:conditionalFormatting>
        <x14:conditionalFormatting xmlns:xm="http://schemas.microsoft.com/office/excel/2006/main">
          <x14:cfRule type="dataBar" id="{7e48ffe1-d53c-4fbe-879a-d2ecbadeac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I39:I50 I3:I5 I7 I31:I37 I9 I28:I29 I26 I18 I20:I23 I11:I16</xm:sqref>
        </x14:conditionalFormatting>
        <x14:conditionalFormatting xmlns:xm="http://schemas.microsoft.com/office/excel/2006/main">
          <x14:cfRule type="dataBar" id="{92f40775-060c-4e6b-a0e6-8044f636cd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I31:I37 I3:I5 I7 I39:I50 I9 I26:I29 I20:I23 I11:I18</xm:sqref>
        </x14:conditionalFormatting>
        <x14:conditionalFormatting xmlns:xm="http://schemas.microsoft.com/office/excel/2006/main">
          <x14:cfRule type="dataBar" id="{66ffbc46-b2a6-415a-a8a5-b25806b9ab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I3:I7 I26:I29 I31:I50 I9 I20:I23</xm:sqref>
        </x14:conditionalFormatting>
        <x14:conditionalFormatting xmlns:xm="http://schemas.microsoft.com/office/excel/2006/main">
          <x14:cfRule type="dataBar" id="{4ab18667-8c3d-427f-8900-2766c2064f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I26:I29 I3:I7 I39:I50 I31:I37 I9 I11:I18 I20:I23</xm:sqref>
        </x14:conditionalFormatting>
        <x14:conditionalFormatting xmlns:xm="http://schemas.microsoft.com/office/excel/2006/main">
          <x14:cfRule type="dataBar" id="{a37001fe-dc87-454a-87ee-11c2972015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I26:I29 I3:I24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2026-06-27T17:08:49Z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