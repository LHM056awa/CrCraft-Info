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<sst xmlns="http://schemas.openxmlformats.org/spreadsheetml/2006/main" count="280" uniqueCount="113">
  <si>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</si>
  <si>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</si>
  <si>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</si>
  <si>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</si>
  <si>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</si>
  <si>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</si>
  <si>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</si>
  <si>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</si>
  <si>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</si>
  <si>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</si>
  <si>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</si>
  <si>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</si>
  <si>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</si>
  <si>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</si>
  <si>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</si>
  <si>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</si>
  <si>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</si>
  <si>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</si>
  <si>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</si>
  <si>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</si>
  <si>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</si>
  <si>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</si>
  <si>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</si>
  <si>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</si>
  <si>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</si>
  <si>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</si>
  <si>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</si>
  <si>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</si>
  <si>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</si>
  <si>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</si>
  <si>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</si>
  <si>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↑2</t>
  </si>
  <si>
    <t>主板、硬盘、机箱</t>
  </si>
  <si>
    <t>rocksuger</t>
  </si>
  <si>
    <t>↓1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</si>
  <si>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</si>
  <si>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</si>
  <si>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</si>
  <si>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</si>
  <si>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</si>
  <si>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</si>
  <si>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</si>
  <si>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</si>
  <si>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</si>
  <si>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</si>
  <si>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</si>
  <si>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</si>
  <si>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</si>
  <si>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</si>
  <si>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</si>
  <si>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</si>
  <si>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</si>
  <si>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</si>
  <si>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</si>
  <si>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</si>
  <si>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</si>
  <si>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</si>
  <si>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</si>
  <si>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</si>
  <si>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</si>
  <si>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</si>
  <si>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</si>
  <si>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鞘翅、TP、电费、羊毛、村民、TNT</t>
  </si>
  <si>
    <t>Onion520</t>
  </si>
  <si>
    <t>电费、经验</t>
  </si>
  <si>
    <t>lhl</t>
  </si>
  <si>
    <t>hanfengzunzhe</t>
  </si>
  <si>
    <t>书架、紫珀块</t>
  </si>
  <si>
    <t>xhf</t>
  </si>
  <si>
    <t>电费</t>
  </si>
  <si>
    <t>YuSaMa1145</t>
  </si>
  <si>
    <t>10书架</t>
  </si>
  <si>
    <t>Mo_Xuan_Yu</t>
  </si>
  <si>
    <t>xiaomin</t>
  </si>
  <si>
    <t>拍卖账号等</t>
  </si>
  <si>
    <t>前哨战坐标等</t>
  </si>
  <si>
    <t>A1TanJZ</t>
  </si>
  <si>
    <t>主板、CPU、电源、机械硬盘</t>
  </si>
  <si>
    <t>海绵、电费、鞘翅、遗物</t>
  </si>
  <si>
    <t>村民</t>
  </si>
  <si>
    <t>4不详宝库</t>
  </si>
  <si>
    <t>littlefish1688</t>
  </si>
  <si>
    <t>2村民蛋</t>
  </si>
  <si>
    <t>QSWY_MC</t>
  </si>
  <si>
    <t>鞘翅、神镐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</si>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</sst>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49"/>
  <sheetViews>
    <sheetView tabSelected="1" workbookViewId="0">
      <pane ySplit="2" topLeftCell="A3" activePane="bottomLeft" state="frozen"/>
      <selection/>
      <selection pane="bottomLeft" activeCell="K14" sqref="K14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SUM(C44,C49,C51:C51,C53,C58:C58,C60:C60,C63,C66:C66,C68:C68,C70,C72:C72,C77,C91,C95,C125,C127,C136,C138,C141)</f>
        <v>427</v>
      </c>
      <c r="J4" s="3">
        <v>46137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  <c r="K13" t="s">
        <v>31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32</v>
      </c>
      <c r="G14" s="15">
        <v>12</v>
      </c>
      <c r="H14" s="10" t="s">
        <v>33</v>
      </c>
      <c r="I14" s="16">
        <f>SUM(C56,C46,C74)</f>
        <v>23</v>
      </c>
      <c r="J14" s="3">
        <v>45634</v>
      </c>
      <c r="K14" t="s">
        <v>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  <c r="K15" t="s">
        <v>34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13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29</v>
      </c>
      <c r="I30" s="16">
        <v>5.02</v>
      </c>
      <c r="J30" s="3">
        <v>44787</v>
      </c>
    </row>
    <row r="31" spans="1:10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63</v>
      </c>
      <c r="I31" s="16">
        <v>5</v>
      </c>
      <c r="J31" s="3">
        <v>45634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4.15</v>
      </c>
      <c r="J32" s="3">
        <v>45707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2">
        <v>4</v>
      </c>
      <c r="J33" s="3">
        <v>45885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" t="s">
        <v>70</v>
      </c>
      <c r="I34" s="2">
        <f>SUM(C100,C108)</f>
        <v>4</v>
      </c>
      <c r="J34" s="3">
        <v>45934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0" t="s">
        <v>18</v>
      </c>
      <c r="I35" s="16">
        <v>3</v>
      </c>
      <c r="J35" s="3" t="s">
        <v>11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72</v>
      </c>
      <c r="I36" s="16">
        <v>3</v>
      </c>
      <c r="J36" s="3">
        <v>45500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2">
        <v>2.5</v>
      </c>
      <c r="J37" s="3">
        <v>45976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66</v>
      </c>
      <c r="I38" s="16">
        <f>SUM(C35,C33:C33)</f>
        <v>2.18</v>
      </c>
      <c r="J38" s="3">
        <v>45396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75</v>
      </c>
      <c r="G39" s="15">
        <v>37</v>
      </c>
      <c r="H39" s="10" t="s">
        <v>16</v>
      </c>
      <c r="I39" s="16">
        <v>2</v>
      </c>
      <c r="J39" s="3" t="s">
        <v>11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" t="s">
        <v>76</v>
      </c>
      <c r="I40" s="2">
        <v>2</v>
      </c>
      <c r="J40" s="3">
        <v>45907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24" t="s">
        <v>43</v>
      </c>
      <c r="I41" s="16">
        <v>1.32</v>
      </c>
      <c r="J41" s="3">
        <v>44958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78</v>
      </c>
      <c r="G42" s="15">
        <v>40</v>
      </c>
      <c r="H42" s="10" t="s">
        <v>20</v>
      </c>
      <c r="I42" s="16">
        <v>1.28</v>
      </c>
      <c r="J42" s="3" t="s">
        <v>11</v>
      </c>
    </row>
    <row r="43" spans="1:10">
      <c r="A43" s="17"/>
      <c r="B43" s="8" t="s">
        <v>13</v>
      </c>
      <c r="C43" s="13">
        <v>2</v>
      </c>
      <c r="D43" s="23"/>
      <c r="E43" s="9" t="s">
        <v>79</v>
      </c>
      <c r="G43">
        <v>41</v>
      </c>
      <c r="H43" s="10" t="s">
        <v>49</v>
      </c>
      <c r="I43" s="16">
        <v>1.01</v>
      </c>
      <c r="J43" s="3">
        <v>45141</v>
      </c>
    </row>
    <row r="44" spans="1:10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80</v>
      </c>
      <c r="G44">
        <v>42</v>
      </c>
      <c r="H44" s="10" t="s">
        <v>81</v>
      </c>
      <c r="I44" s="16">
        <v>1</v>
      </c>
      <c r="J44" s="3">
        <v>45794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14</v>
      </c>
      <c r="I45" s="16">
        <v>0.55</v>
      </c>
      <c r="J45" s="3" t="s">
        <v>11</v>
      </c>
    </row>
    <row r="46" spans="1:10">
      <c r="A46" s="29"/>
      <c r="B46" s="26" t="s">
        <v>33</v>
      </c>
      <c r="C46" s="27">
        <v>3</v>
      </c>
      <c r="D46" s="30"/>
      <c r="E46" s="28" t="s">
        <v>82</v>
      </c>
      <c r="G46">
        <v>44</v>
      </c>
      <c r="H46" s="10" t="s">
        <v>83</v>
      </c>
      <c r="I46" s="16">
        <v>0.5</v>
      </c>
      <c r="J46" s="3">
        <v>45697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2">
        <v>0.5</v>
      </c>
      <c r="J47" s="3">
        <v>45885</v>
      </c>
    </row>
    <row r="48" spans="1:10">
      <c r="A48" s="25">
        <v>45500</v>
      </c>
      <c r="B48" s="26" t="s">
        <v>72</v>
      </c>
      <c r="C48" s="27">
        <v>3</v>
      </c>
      <c r="D48" s="21">
        <f>SUM(C3:C49)</f>
        <v>-1866.27</v>
      </c>
      <c r="E48" s="28"/>
      <c r="G48" s="15">
        <v>46</v>
      </c>
      <c r="H48" s="10" t="s">
        <v>47</v>
      </c>
      <c r="I48" s="16">
        <v>0.11</v>
      </c>
      <c r="J48" s="3">
        <v>45140</v>
      </c>
    </row>
    <row r="49" spans="1:10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24</v>
      </c>
      <c r="I49" s="16">
        <v>0.1</v>
      </c>
      <c r="J49" s="3">
        <v>44213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86</v>
      </c>
    </row>
    <row r="51" spans="1:10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87</v>
      </c>
    </row>
    <row r="53" spans="1:10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88</v>
      </c>
    </row>
    <row r="56" spans="1:10">
      <c r="A56" s="31"/>
      <c r="B56" s="26" t="s">
        <v>33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87</v>
      </c>
    </row>
    <row r="58" spans="1:10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89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90</v>
      </c>
    </row>
    <row r="60" spans="1:10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87</v>
      </c>
    </row>
    <row r="62" spans="1:10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91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92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63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33</v>
      </c>
      <c r="C74" s="27">
        <v>10</v>
      </c>
      <c r="D74" s="30"/>
      <c r="E74" s="28" t="s">
        <v>93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94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83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65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81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95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96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85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68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70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76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97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70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98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99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100</v>
      </c>
    </row>
    <row r="115" spans="1:5">
      <c r="A115" s="25">
        <v>45976</v>
      </c>
      <c r="B115" s="33" t="s">
        <v>73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101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102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103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104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105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106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107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108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79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109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110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111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ht="14.25" spans="1:5">
      <c r="A148" s="37"/>
      <c r="B148" s="38"/>
      <c r="C148" s="39"/>
      <c r="D148" s="39"/>
      <c r="E148" s="40"/>
    </row>
    <row r="149" spans="1:5">
      <c r="A149" s="41" t="s">
        <v>112</v>
      </c>
      <c r="B149" s="41"/>
      <c r="C149" s="41"/>
      <c r="D149" s="41"/>
      <c r="E149" s="41"/>
    </row>
  </sheetData>
  <mergeCells count="40">
    <mergeCell ref="A1:E1"/>
    <mergeCell ref="G1:K1"/>
    <mergeCell ref="A149:E149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{e2ab790d-33f9-48ea-85a8-01caa9a6b713}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{9b1946bd-04a7-4453-82a2-54f7bbd67618}</x14:id>
        </ext>
      </extLst>
    </cfRule>
  </conditionalFormatting>
  <conditionalFormatting sqref="D1:D18 D20:D23 D25:D26 D28:D42 D44:D45 D47:D48 D50:D51 D53 D55 D57:D60 D62:D64 D66:D73 D75:D92 D95:D98 D103:D148 D150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{ab125945-82b1-4d78-954c-646b0a084aa3}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{2078db2c-cecc-48e1-829f-61186f805d4e}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{66210601-d661-43a1-a7c1-4fbf87af2e47}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{28559485-5980-47e0-9f6c-daac2554fdf4}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{82d23e15-2fde-4b6e-b16e-bbc2be0aaff8}</x14:id>
        </ext>
      </extLst>
    </cfRule>
  </conditionalFormatting>
  <conditionalFormatting sqref="I2 I50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{a9a6d7d4-9d2c-4543-919f-3da34aa4abe9}</x14:id>
        </ext>
      </extLst>
    </cfRule>
  </conditionalFormatting>
  <conditionalFormatting sqref="I2:I6 I9:I12 I20:I23 I38:I1048576 I14:I18 I26:I36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{6478a7a8-75de-4eb2-84cc-47a6d127c814}</x14:id>
        </ext>
      </extLst>
    </cfRule>
  </conditionalFormatting>
  <conditionalFormatting sqref="I2:I6 I9:I12 I20:I23 I38:I1048576 I18 I26:I36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{bc70300b-ea36-44a5-8949-8ea95d106fc4}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38:I39 I41:I46 I30:I32 I35:I36 I48:I49 I20:I23 I26 I14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{e3eedc17-0557-4346-852d-3d614a565146}</x14:id>
        </ext>
      </extLst>
    </cfRule>
  </conditionalFormatting>
  <conditionalFormatting sqref="I3:I6 I9 I11:I12 I28 I18 I38:I39 I41:I46 I30:I32 I35:I36 I48:I49 I20:I23 I14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{7e02d5ec-c006-49e8-8cee-fb2fc76cf772}</x14:id>
        </ext>
      </extLst>
    </cfRule>
  </conditionalFormatting>
  <conditionalFormatting sqref="I3:I6 I9 I11:I12 I28 I18 I35:I36 I16 I38:I39 I30:I32 I48:I49 I41:I46 I20:I23 I26 I14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{d45fd17b-95e3-4699-8b83-cb2afeef5ef8}</x14:id>
        </ext>
      </extLst>
    </cfRule>
  </conditionalFormatting>
  <conditionalFormatting sqref="I3:I6 I9:I12 I26 I18 I28:I33 I16 I35:I36 I41:I49 I38:I39 I20:I23 I1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{52fcc040-0974-4598-8fa2-039ac65f51f8}</x14:id>
        </ext>
      </extLst>
    </cfRule>
  </conditionalFormatting>
  <conditionalFormatting sqref="I3:I6 I9:I12 I26 I18 I35:I36 I16 I38:I39 I28:I32 I48:I49 I41:I46 I20:I23 I14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{be6f9de4-a6ed-4d6d-ad0a-b20138ee5636}</x14:id>
        </ext>
      </extLst>
    </cfRule>
  </conditionalFormatting>
  <conditionalFormatting sqref="I3:I6 I9:I12 I20:I23 I18 I26:I36 I14:I16 I38:I4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{35eb46ab-5868-40a6-9abe-85654d2ee47e}</x14:id>
        </ext>
      </extLst>
    </cfRule>
  </conditionalFormatting>
  <conditionalFormatting sqref="I3:I6 I9:I12 I26 I18 I38:I49 I14:I16 I28:I36 I20:I2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{433be48e-3cb8-4e63-88c8-3ebbdc18a869}</x14:id>
        </ext>
      </extLst>
    </cfRule>
  </conditionalFormatting>
  <conditionalFormatting sqref="I3:I6 I9:I12 I20:I23 I14:I18 I38:I49 I26:I36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{a9cef11f-f284-4dbc-a7bb-95a9a164d0d8}</x14:id>
        </ext>
      </extLst>
    </cfRule>
  </conditionalFormatting>
  <conditionalFormatting sqref="I3:I7 I9:I12 I20:I23 I14:I18 I26:I4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{7ebfde5b-1d44-4a5c-9d04-7ed20fc88af6}</x14:id>
        </ext>
      </extLst>
    </cfRule>
  </conditionalFormatting>
  <conditionalFormatting sqref="I3:I7 I9:I12 I20:I23 I14:I18 I26:I36 I38:I4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{dfef82c0-ed34-4091-a0ae-0ede5b2c5cf3}</x14:id>
        </ext>
      </extLst>
    </cfRule>
  </conditionalFormatting>
  <conditionalFormatting sqref="I3:I24 I26:I4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{fc81d9b0-f6d8-4b92-b1ae-e00ae5cd5249}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ab790d-33f9-48ea-85a8-01caa9a6b7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9b1946bd-04a7-4453-82a2-54f7bbd67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ab125945-82b1-4d78-954c-646b0a084a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2078db2c-cecc-48e1-829f-61186f805d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66210601-d661-43a1-a7c1-4fbf87af2e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28559485-5980-47e0-9f6c-daac2554fd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82d23e15-2fde-4b6e-b16e-bbc2be0aaf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a9a6d7d4-9d2c-4543-919f-3da34aa4ab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I50:I1048576</xm:sqref>
        </x14:conditionalFormatting>
        <x14:conditionalFormatting xmlns:xm="http://schemas.microsoft.com/office/excel/2006/main">
          <x14:cfRule type="dataBar" id="{6478a7a8-75de-4eb2-84cc-47a6d127c8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I38:I1048576 I14:I18 I26:I36</xm:sqref>
        </x14:conditionalFormatting>
        <x14:conditionalFormatting xmlns:xm="http://schemas.microsoft.com/office/excel/2006/main">
          <x14:cfRule type="dataBar" id="{bc70300b-ea36-44a5-8949-8ea95d106f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I38:I1048576 I18 I26:I36 I14:I16</xm:sqref>
        </x14:conditionalFormatting>
        <x14:conditionalFormatting xmlns:xm="http://schemas.microsoft.com/office/excel/2006/main">
          <x14:cfRule type="dataBar" id="{e3eedc17-0557-4346-852d-3d614a5651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I38:I39 I41:I46 I30:I32 I35:I36 I48:I49 I20:I23 I26 I14</xm:sqref>
        </x14:conditionalFormatting>
        <x14:conditionalFormatting xmlns:xm="http://schemas.microsoft.com/office/excel/2006/main">
          <x14:cfRule type="dataBar" id="{7e02d5ec-c006-49e8-8cee-fb2fc76cf7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I38:I39 I41:I46 I30:I32 I35:I36 I48:I49 I20:I23 I14</xm:sqref>
        </x14:conditionalFormatting>
        <x14:conditionalFormatting xmlns:xm="http://schemas.microsoft.com/office/excel/2006/main">
          <x14:cfRule type="dataBar" id="{d45fd17b-95e3-4699-8b83-cb2afeef5e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I35:I36 I16 I38:I39 I30:I32 I48:I49 I41:I46 I20:I23 I26 I14</xm:sqref>
        </x14:conditionalFormatting>
        <x14:conditionalFormatting xmlns:xm="http://schemas.microsoft.com/office/excel/2006/main">
          <x14:cfRule type="dataBar" id="{52fcc040-0974-4598-8fa2-039ac65f5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I28:I33 I16 I35:I36 I41:I49 I38:I39 I20:I23 I14</xm:sqref>
        </x14:conditionalFormatting>
        <x14:conditionalFormatting xmlns:xm="http://schemas.microsoft.com/office/excel/2006/main">
          <x14:cfRule type="dataBar" id="{be6f9de4-a6ed-4d6d-ad0a-b20138ee56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I35:I36 I16 I38:I39 I28:I32 I48:I49 I41:I46 I20:I23 I14</xm:sqref>
        </x14:conditionalFormatting>
        <x14:conditionalFormatting xmlns:xm="http://schemas.microsoft.com/office/excel/2006/main">
          <x14:cfRule type="dataBar" id="{35eb46ab-5868-40a6-9abe-85654d2ee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I26:I36 I14:I16 I38:I49</xm:sqref>
        </x14:conditionalFormatting>
        <x14:conditionalFormatting xmlns:xm="http://schemas.microsoft.com/office/excel/2006/main">
          <x14:cfRule type="dataBar" id="{433be48e-3cb8-4e63-88c8-3ebbdc18a8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I38:I49 I14:I16 I28:I36 I20:I23</xm:sqref>
        </x14:conditionalFormatting>
        <x14:conditionalFormatting xmlns:xm="http://schemas.microsoft.com/office/excel/2006/main">
          <x14:cfRule type="dataBar" id="{a9cef11f-f284-4dbc-a7bb-95a9a164d0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I38:I49 I26:I36</xm:sqref>
        </x14:conditionalFormatting>
        <x14:conditionalFormatting xmlns:xm="http://schemas.microsoft.com/office/excel/2006/main">
          <x14:cfRule type="dataBar" id="{7ebfde5b-1d44-4a5c-9d04-7ed20fc88a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I26:I49</xm:sqref>
        </x14:conditionalFormatting>
        <x14:conditionalFormatting xmlns:xm="http://schemas.microsoft.com/office/excel/2006/main">
          <x14:cfRule type="dataBar" id="{dfef82c0-ed34-4091-a0ae-0ede5b2c5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I26:I36 I38:I49</xm:sqref>
        </x14:conditionalFormatting>
        <x14:conditionalFormatting xmlns:xm="http://schemas.microsoft.com/office/excel/2006/main">
          <x14:cfRule type="dataBar" id="{fc81d9b0-f6d8-4b92-b1ae-e00ae5cd52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2026-05-04T13:34:50Z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