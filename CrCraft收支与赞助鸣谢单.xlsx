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<sst xmlns="http://schemas.openxmlformats.org/spreadsheetml/2006/main" count="321" uniqueCount="116">
  <si>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</si>
  <si>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</si>
  <si>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</si>
  <si>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</si>
  <si>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</si>
  <si>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</si>
  <si>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</si>
  <si>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</si>
  <si>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</si>
  <si>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</si>
  <si>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</si>
  <si>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</si>
  <si>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</si>
  <si>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</si>
  <si>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</si>
  <si>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</si>
  <si>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</si>
  <si>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qmzp_</t>
  </si>
  <si>
    <t>Mtve</t>
  </si>
  <si>
    <t>KIRINIT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</si>
  <si>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</si>
  <si>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</si>
  <si>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</si>
  <si>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</si>
  <si>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</si>
  <si>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</si>
  <si>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</si>
  <si>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</si>
  <si>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</si>
  <si>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</si>
  <si>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</si>
  <si>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</si>
  <si>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</si>
  <si>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</si>
  <si>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</si>
  <si>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</si>
  <si>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</si>
  <si>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</si>
  <si>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</si>
  <si>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</si>
  <si>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</si>
  <si>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</si>
  <si>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</si>
  <si>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</si>
  <si>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</si>
  <si>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</si>
  <si>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</si>
  <si>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</si>
  <si>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</si>
  <si>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</si>
  <si>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</si>
  <si>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</si>
  <si>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</si>
  <si>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</si>
  <si>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</si>
  <si>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red_chipi</t>
  </si>
  <si>
    <t>↑24</t>
  </si>
  <si>
    <t>5下界合金锭</t>
  </si>
  <si>
    <t>Goocheu_fox</t>
  </si>
  <si>
    <t>↓1</t>
  </si>
  <si>
    <t>Cr_Dragon</t>
  </si>
  <si>
    <t>拍卖账号</t>
  </si>
  <si>
    <t>XL12</t>
  </si>
  <si>
    <t>鞘翅、TP、电费、羊毛、村民、TNT</t>
  </si>
  <si>
    <t>Xiaoyingawa</t>
  </si>
  <si>
    <t>电费、经验</t>
  </si>
  <si>
    <t>hanfengzunzhe</t>
  </si>
  <si>
    <t>书架、紫珀块</t>
  </si>
  <si>
    <t>Onion520</t>
  </si>
  <si>
    <t>电费</t>
  </si>
  <si>
    <t>lhl</t>
  </si>
  <si>
    <t>10书架</t>
  </si>
  <si>
    <t>xhf</t>
  </si>
  <si>
    <t>YuSaMa1145</t>
  </si>
  <si>
    <t>拍卖账号等</t>
  </si>
  <si>
    <t>Mo_Xuan_Yu</t>
  </si>
  <si>
    <t>前哨战坐标等</t>
  </si>
  <si>
    <t>xiaomin</t>
  </si>
  <si>
    <t>主板、CPU、电源、机械硬盘</t>
  </si>
  <si>
    <t>海绵、电费、鞘翅、遗物</t>
  </si>
  <si>
    <t>A1TanJZ</t>
  </si>
  <si>
    <t>村民</t>
  </si>
  <si>
    <t>4不详宝库</t>
  </si>
  <si>
    <t>2村民蛋</t>
  </si>
  <si>
    <t>littlefish1688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</si>
  <si>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</si>
  <si>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</si>
  <si>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</si>
  <si>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</si>
  <si>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</si>
  <si>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</si>
  <si>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</si>
  <si>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</si>
  <si>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</si>
  <si>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</si>
  <si>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</si>
  <si>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</si>
  <si>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</si>
  <si>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</si>
  <si>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</si>
  <si>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</si>
  <si>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</si>
  <si>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</si>
  <si>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</si>
  <si>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</si>
  <si>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</si>
  <si>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</si>
  <si>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</si>
  <si>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</si>
  <si>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</si>
  <si>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</si>
  <si>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</si>
  <si>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</si>
  <si>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</si>
  <si>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钻石胸甲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</si>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</sst>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9"/>
  <sheetViews>
    <sheetView tabSelected="1" workbookViewId="0">
      <pane ySplit="2" topLeftCell="A15" activePane="bottomLeft" state="frozen"/>
      <selection/>
      <selection pane="bottomLeft" activeCell="L35" sqref="L3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SUM(C44,C49,C51:C51,C53,C58:C58,C60:C60,C63,C66:C66,C68:C68,C70,C72:C72,C77,C91,C95,C125,C127,C136,C138,C141,C148,C150,C152,C154,C156)</f>
        <v>527</v>
      </c>
      <c r="J3" s="3">
        <v>46204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" t="s">
        <v>19</v>
      </c>
      <c r="I6" s="2">
        <f>SUM(C110:C110,C113,C116,C118,C129,C134,C142,C151,C153)</f>
        <v>260</v>
      </c>
      <c r="J6" s="3">
        <v>46193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26</v>
      </c>
      <c r="I10" s="2">
        <f>SUM(C133,C143,C147,C155)</f>
        <v>63.32</v>
      </c>
      <c r="J10" s="3">
        <v>46196</v>
      </c>
    </row>
    <row r="11" spans="1:11">
      <c r="A11" s="17">
        <v>44781</v>
      </c>
      <c r="B11" s="8" t="s">
        <v>21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28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29</v>
      </c>
      <c r="G12" s="15">
        <v>10</v>
      </c>
      <c r="H12" s="10" t="s">
        <v>22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30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21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15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21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0" t="s">
        <v>55</v>
      </c>
      <c r="I27" s="2">
        <v>8</v>
      </c>
      <c r="J27" s="3">
        <v>46205</v>
      </c>
      <c r="K27" t="s">
        <v>56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57</v>
      </c>
      <c r="G28">
        <v>26</v>
      </c>
      <c r="H28" s="10" t="s">
        <v>58</v>
      </c>
      <c r="I28" s="2">
        <v>7.33</v>
      </c>
      <c r="J28" s="3">
        <v>45907</v>
      </c>
      <c r="K28" t="s">
        <v>59</v>
      </c>
    </row>
    <row r="29" spans="1:11">
      <c r="A29" s="17">
        <v>45305</v>
      </c>
      <c r="B29" s="8" t="s">
        <v>21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16">
        <f>SUM(C82,C84,C94)</f>
        <v>6.98</v>
      </c>
      <c r="J29" s="3">
        <v>45861</v>
      </c>
      <c r="K29" t="s">
        <v>59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62</v>
      </c>
      <c r="I30" s="2">
        <v>6</v>
      </c>
      <c r="J30" s="3">
        <v>45868</v>
      </c>
      <c r="K30" t="s">
        <v>59</v>
      </c>
    </row>
    <row r="31" spans="1:11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63</v>
      </c>
      <c r="G31">
        <v>29</v>
      </c>
      <c r="H31" s="10" t="s">
        <v>64</v>
      </c>
      <c r="I31" s="2">
        <v>5.04</v>
      </c>
      <c r="J31" s="3">
        <v>46160</v>
      </c>
      <c r="K31" t="s">
        <v>59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65</v>
      </c>
      <c r="G32">
        <v>30</v>
      </c>
      <c r="H32" s="10" t="s">
        <v>30</v>
      </c>
      <c r="I32" s="16">
        <v>5.02</v>
      </c>
      <c r="J32" s="3">
        <v>44787</v>
      </c>
      <c r="K32" t="s">
        <v>59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5</v>
      </c>
      <c r="J33" s="3">
        <v>45634</v>
      </c>
      <c r="K33" t="s">
        <v>59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16">
        <v>4.15</v>
      </c>
      <c r="J34" s="3">
        <v>45707</v>
      </c>
      <c r="K34" t="s">
        <v>59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0" t="s">
        <v>72</v>
      </c>
      <c r="I35" s="2">
        <v>4</v>
      </c>
      <c r="J35" s="3">
        <v>45885</v>
      </c>
      <c r="K35" t="s">
        <v>59</v>
      </c>
    </row>
    <row r="36" spans="1:11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" t="s">
        <v>73</v>
      </c>
      <c r="I36" s="2">
        <f>SUM(C100,C108)</f>
        <v>4</v>
      </c>
      <c r="J36" s="3">
        <v>45934</v>
      </c>
      <c r="K36" t="s">
        <v>59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18</v>
      </c>
      <c r="I37" s="16">
        <v>3</v>
      </c>
      <c r="J37" s="3" t="s">
        <v>11</v>
      </c>
      <c r="K37" t="s">
        <v>59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16">
        <v>3</v>
      </c>
      <c r="J38" s="3">
        <v>45500</v>
      </c>
      <c r="K38" t="s">
        <v>59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77</v>
      </c>
      <c r="I39" s="2">
        <v>2.5</v>
      </c>
      <c r="J39" s="3">
        <v>45976</v>
      </c>
      <c r="K39" t="s">
        <v>59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66</v>
      </c>
      <c r="I40" s="16">
        <f>SUM(C35,C33:C33)</f>
        <v>2.18</v>
      </c>
      <c r="J40" s="3">
        <v>45396</v>
      </c>
      <c r="K40" t="s">
        <v>59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78</v>
      </c>
      <c r="G41">
        <v>39</v>
      </c>
      <c r="H41" s="10" t="s">
        <v>16</v>
      </c>
      <c r="I41" s="16">
        <v>2</v>
      </c>
      <c r="J41" s="3" t="s">
        <v>11</v>
      </c>
      <c r="K41" t="s">
        <v>59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1" t="s">
        <v>80</v>
      </c>
      <c r="I42" s="2">
        <v>2</v>
      </c>
      <c r="J42" s="3">
        <v>45907</v>
      </c>
      <c r="K42" t="s">
        <v>59</v>
      </c>
    </row>
    <row r="43" spans="1:11">
      <c r="A43" s="17"/>
      <c r="B43" s="8" t="s">
        <v>15</v>
      </c>
      <c r="C43" s="13">
        <v>2</v>
      </c>
      <c r="D43" s="23"/>
      <c r="E43" s="9" t="s">
        <v>81</v>
      </c>
      <c r="G43">
        <v>41</v>
      </c>
      <c r="H43" s="24" t="s">
        <v>41</v>
      </c>
      <c r="I43" s="16">
        <v>1.32</v>
      </c>
      <c r="J43" s="3">
        <v>44958</v>
      </c>
      <c r="K43" t="s">
        <v>59</v>
      </c>
    </row>
    <row r="44" spans="1:11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82</v>
      </c>
      <c r="G44">
        <v>42</v>
      </c>
      <c r="H44" s="10" t="s">
        <v>20</v>
      </c>
      <c r="I44" s="16">
        <v>1.28</v>
      </c>
      <c r="J44" s="3" t="s">
        <v>11</v>
      </c>
      <c r="K44" t="s">
        <v>59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47</v>
      </c>
      <c r="I45" s="16">
        <v>1.01</v>
      </c>
      <c r="J45" s="3">
        <v>45141</v>
      </c>
      <c r="K45" t="s">
        <v>59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84</v>
      </c>
      <c r="I46" s="16">
        <v>1</v>
      </c>
      <c r="J46" s="3">
        <v>45794</v>
      </c>
      <c r="K46" t="s">
        <v>59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85</v>
      </c>
      <c r="G47">
        <v>45</v>
      </c>
      <c r="H47" s="10" t="s">
        <v>14</v>
      </c>
      <c r="I47" s="16">
        <v>0.55</v>
      </c>
      <c r="J47" s="3" t="s">
        <v>11</v>
      </c>
      <c r="K47" t="s">
        <v>59</v>
      </c>
    </row>
    <row r="48" spans="1:11">
      <c r="A48" s="25">
        <v>45500</v>
      </c>
      <c r="B48" s="26" t="s">
        <v>75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16">
        <v>0.5</v>
      </c>
      <c r="J48" s="3">
        <v>45697</v>
      </c>
      <c r="K48" t="s">
        <v>59</v>
      </c>
    </row>
    <row r="49" spans="1:11">
      <c r="A49" s="31"/>
      <c r="B49" s="26" t="s">
        <v>13</v>
      </c>
      <c r="C49" s="27">
        <v>5</v>
      </c>
      <c r="D49" s="30"/>
      <c r="E49" s="28" t="s">
        <v>69</v>
      </c>
      <c r="G49">
        <v>47</v>
      </c>
      <c r="H49" s="10" t="s">
        <v>87</v>
      </c>
      <c r="I49" s="2">
        <v>0.5</v>
      </c>
      <c r="J49" s="3">
        <v>45885</v>
      </c>
      <c r="K49" t="s">
        <v>59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88</v>
      </c>
      <c r="G50">
        <v>48</v>
      </c>
      <c r="H50" s="10" t="s">
        <v>45</v>
      </c>
      <c r="I50" s="16">
        <v>0.11</v>
      </c>
      <c r="J50" s="3">
        <v>45140</v>
      </c>
      <c r="K50" t="s">
        <v>59</v>
      </c>
    </row>
    <row r="51" spans="1:11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69</v>
      </c>
      <c r="G51">
        <v>49</v>
      </c>
      <c r="H51" s="10" t="s">
        <v>24</v>
      </c>
      <c r="I51" s="16">
        <v>0.1</v>
      </c>
      <c r="J51" s="3">
        <v>44213</v>
      </c>
      <c r="K51" t="s">
        <v>59</v>
      </c>
    </row>
    <row r="52" spans="1:11">
      <c r="A52" s="31"/>
      <c r="B52" s="26" t="s">
        <v>25</v>
      </c>
      <c r="C52" s="27">
        <v>86</v>
      </c>
      <c r="D52" s="30"/>
      <c r="E52" s="28" t="s">
        <v>89</v>
      </c>
    </row>
    <row r="53" spans="1:11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90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89</v>
      </c>
    </row>
    <row r="58" spans="1:11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91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92</v>
      </c>
    </row>
    <row r="60" spans="1:11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89</v>
      </c>
    </row>
    <row r="62" spans="1:11">
      <c r="A62" s="31">
        <v>45551</v>
      </c>
      <c r="B62" s="33" t="s">
        <v>21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93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94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68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95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96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86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70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84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21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60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60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28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62</v>
      </c>
      <c r="C87" s="27">
        <v>6</v>
      </c>
      <c r="D87" s="21">
        <f>SUM(C3:C87)</f>
        <v>-1237.97</v>
      </c>
      <c r="E87" s="28" t="s">
        <v>97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98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87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72</v>
      </c>
      <c r="C93" s="27">
        <v>6</v>
      </c>
      <c r="D93" s="30"/>
      <c r="E93" s="34"/>
    </row>
    <row r="94" spans="1:5">
      <c r="A94" s="17"/>
      <c r="B94" s="33" t="s">
        <v>60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58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73</v>
      </c>
      <c r="C100" s="27">
        <v>2</v>
      </c>
      <c r="D100" s="30"/>
      <c r="E100" s="34"/>
    </row>
    <row r="101" spans="1:5">
      <c r="A101" s="31"/>
      <c r="B101" s="33" t="s">
        <v>28</v>
      </c>
      <c r="C101" s="27">
        <v>2</v>
      </c>
      <c r="D101" s="30"/>
      <c r="E101" s="34"/>
    </row>
    <row r="102" spans="1:5">
      <c r="A102" s="31"/>
      <c r="B102" s="33" t="s">
        <v>80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99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28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28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73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19</v>
      </c>
      <c r="C110" s="27">
        <v>60</v>
      </c>
      <c r="D110" s="21">
        <f>SUM(C3:C110)</f>
        <v>-1202.68</v>
      </c>
      <c r="E110" s="34" t="s">
        <v>100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28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19</v>
      </c>
      <c r="C113" s="27">
        <v>60</v>
      </c>
      <c r="D113" s="21">
        <f>SUM(C3:C113)</f>
        <v>-1131.68</v>
      </c>
      <c r="E113" s="34" t="s">
        <v>101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102</v>
      </c>
    </row>
    <row r="115" spans="1:5">
      <c r="A115" s="25">
        <v>45976</v>
      </c>
      <c r="B115" s="33" t="s">
        <v>77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19</v>
      </c>
      <c r="C116" s="27">
        <v>20</v>
      </c>
      <c r="D116" s="21">
        <f>SUM(C3:C116)</f>
        <v>-1072.18</v>
      </c>
      <c r="E116" s="34" t="s">
        <v>103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104</v>
      </c>
    </row>
    <row r="118" spans="1:5">
      <c r="A118" s="25">
        <v>46012</v>
      </c>
      <c r="B118" s="33" t="s">
        <v>19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28</v>
      </c>
      <c r="C119" s="27">
        <v>16</v>
      </c>
      <c r="D119" s="21">
        <f>SUM(C3:C119)</f>
        <v>-1045.18</v>
      </c>
      <c r="E119" s="34" t="s">
        <v>105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106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107</v>
      </c>
    </row>
    <row r="124" spans="1:5">
      <c r="A124" s="31"/>
      <c r="B124" s="33" t="s">
        <v>28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108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109</v>
      </c>
    </row>
    <row r="129" spans="1:5">
      <c r="A129" s="36"/>
      <c r="B129" s="33" t="s">
        <v>19</v>
      </c>
      <c r="C129" s="27">
        <v>30</v>
      </c>
      <c r="D129" s="21">
        <f>SUM(C3:C129)</f>
        <v>-804.18</v>
      </c>
      <c r="E129" s="34" t="s">
        <v>110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81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26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19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111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112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19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26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113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26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64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19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25">
        <v>46193</v>
      </c>
      <c r="B153" s="33" t="s">
        <v>19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69</v>
      </c>
    </row>
    <row r="155" spans="1:5">
      <c r="A155" s="25">
        <v>46196</v>
      </c>
      <c r="B155" s="33" t="s">
        <v>26</v>
      </c>
      <c r="C155" s="27">
        <v>25</v>
      </c>
      <c r="D155" s="21">
        <f>SUM(C3:C155)</f>
        <v>-2909.11</v>
      </c>
      <c r="E155" s="34" t="s">
        <v>108</v>
      </c>
    </row>
    <row r="156" spans="1:5">
      <c r="A156" s="25">
        <v>46204</v>
      </c>
      <c r="B156" s="33" t="s">
        <v>13</v>
      </c>
      <c r="C156" s="27">
        <v>20</v>
      </c>
      <c r="D156" s="21">
        <f>SUM(C3:C156)</f>
        <v>-2889.11</v>
      </c>
      <c r="E156" s="34" t="s">
        <v>69</v>
      </c>
    </row>
    <row r="157" spans="1:5">
      <c r="A157" s="37">
        <v>46205</v>
      </c>
      <c r="B157" s="38" t="s">
        <v>55</v>
      </c>
      <c r="C157" s="39">
        <v>8</v>
      </c>
      <c r="D157" s="21">
        <f>SUM(C3:C157)</f>
        <v>-2881.11</v>
      </c>
      <c r="E157" s="40" t="s">
        <v>114</v>
      </c>
    </row>
    <row r="158" ht="14.25" spans="1:5">
      <c r="A158" s="41"/>
      <c r="B158" s="42"/>
      <c r="C158" s="43"/>
      <c r="D158" s="43"/>
      <c r="E158" s="44"/>
    </row>
    <row r="159" spans="1:5">
      <c r="A159" s="45" t="s">
        <v>115</v>
      </c>
      <c r="B159" s="45"/>
      <c r="C159" s="45"/>
      <c r="D159" s="45"/>
      <c r="E159" s="45"/>
    </row>
  </sheetData>
  <mergeCells count="41">
    <mergeCell ref="A1:E1"/>
    <mergeCell ref="G1:K1"/>
    <mergeCell ref="A159:E159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{aff9f52c-85a9-499b-ae27-3ebe825d11aa}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{b036c6b4-b3b1-447e-9995-6217e4e4fef8}</x14:id>
        </ext>
      </extLst>
    </cfRule>
  </conditionalFormatting>
  <conditionalFormatting sqref="D1:D18 D20:D23 D25:D26 D28:D42 D44:D45 D47:D48 D50:D51 D53 D55 D57:D60 D62:D64 D66:D73 D75:D92 D95:D98 D103:D158 D160:D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{20fa9b1b-7838-4ea5-b137-a512bdd60548}</x14:id>
        </ext>
      </extLst>
    </cfRule>
  </conditionalFormatting>
  <conditionalFormatting sqref="I1:I26 I28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{c3fe1633-2d15-4c57-b396-2ebba2782a46}</x14:id>
        </ext>
      </extLst>
    </cfRule>
  </conditionalFormatting>
  <conditionalFormatting sqref="I1:I9 I20:I24 I26 I28:I1048576 I11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{c2454dbf-2bba-497e-bb46-cf5ae34c8309}</x14:id>
        </ext>
      </extLst>
    </cfRule>
  </conditionalFormatting>
  <conditionalFormatting sqref="I1:I9 I20:I23 I26 I28:I1048576 I11:I18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{47aaa231-4aaf-4fd8-bdd3-2ae040de8f51}</x14:id>
        </ext>
      </extLst>
    </cfRule>
  </conditionalFormatting>
  <conditionalFormatting sqref="I1:I24 I26 I28:I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{b838d886-995e-4ce0-817f-9f82e986b46d}</x14:id>
        </ext>
      </extLst>
    </cfRule>
  </conditionalFormatting>
  <conditionalFormatting sqref="I1:I18 I20:I24 I26 I28:I104857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{86dcc80c-759d-4a5a-acd3-643f9ca3fceb}</x14:id>
        </ext>
      </extLst>
    </cfRule>
  </conditionalFormatting>
  <conditionalFormatting sqref="I2 I52:I1048576 I3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{f23da25e-49e7-4674-b7d1-52a3df7f4321}</x14:id>
        </ext>
      </extLst>
    </cfRule>
  </conditionalFormatting>
  <conditionalFormatting sqref="I2:I5 I26 I11:I18 I9 I7 I40:I1048576 I20:I23 I28:I3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{3eac9ceb-21d2-4efc-920e-08e287498c57}</x14:id>
        </ext>
      </extLst>
    </cfRule>
  </conditionalFormatting>
  <conditionalFormatting sqref="I2:I5 I9 I26 I7 I11:I16 I40:I1048576 I20:I23 I18 I28:I38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{6646db04-ae3d-46e5-bbff-2d8592bdc898}</x14:id>
        </ext>
      </extLst>
    </cfRule>
  </conditionalFormatting>
  <conditionalFormatting sqref="D3 D10:D18 D20:D23 D25:D26 D28:D3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4 I3:I5 I7 I18 I9 I20:I23 I26 I37:I38 I29 I32:I34 I40:I41 I43:I48 I50:I51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{3d9ec24e-a1da-440a-bfaa-cbf724d2cdac}</x14:id>
        </ext>
      </extLst>
    </cfRule>
  </conditionalFormatting>
  <conditionalFormatting sqref="I18 I3:I5 I7 I12:I14 I9 I20:I23 I37:I38 I29 I32:I34 I40:I41 I43:I48 I50:I51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{213a9139-65c9-4b34-a9e0-585d2d02d42e}</x14:id>
        </ext>
      </extLst>
    </cfRule>
  </conditionalFormatting>
  <conditionalFormatting sqref="I16 I3:I5 I7 I12:I14 I9 I20:I23 I26 I18 I50:I51 I29 I32:I34 I37:I38 I40:I41 I43:I48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{ab67dc00-3d99-4bc8-8c0f-a963b304cff5}</x14:id>
        </ext>
      </extLst>
    </cfRule>
  </conditionalFormatting>
  <conditionalFormatting sqref="I11:I14 I3:I5 I7 I20:I23 I9 I16 I26 I18 I40:I41 I29:I30 I43:I51 I32:I35 I37:I38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{f2ad4f43-4518-41c6-8a22-0234dd053784}</x14:id>
        </ext>
      </extLst>
    </cfRule>
  </conditionalFormatting>
  <conditionalFormatting sqref="I20:I23 I3:I5 I7 I16 I9 I11:I14 I26 I18 I50:I51 I32:I34 I37:I38 I40:I41 I43:I48 I29:I30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{fcc7d6c5-9727-4ec5-bfc8-cb96708af8cc}</x14:id>
        </ext>
      </extLst>
    </cfRule>
  </conditionalFormatting>
  <conditionalFormatting sqref="I18 I20:I23 I3:I5 I7 I26 I9 I11:I16 I28:I30 I32:I38 I40:I5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{2e9e720d-2fc5-47e8-986e-7a35ff4cafdc}</x14:id>
        </ext>
      </extLst>
    </cfRule>
  </conditionalFormatting>
  <conditionalFormatting sqref="I11:I16 I3:I5 I7 I20:I23 I9 I18 I26 I40:I51 I29:I30 I32:I38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{d8123ca4-e3e4-41ac-9faf-b882f660c764}</x14:id>
        </ext>
      </extLst>
    </cfRule>
  </conditionalFormatting>
  <conditionalFormatting sqref="I11:I18 I3:I5 I7 I20:I23 I9 I26 I32:I38 I28:I30 I40:I5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{57788638-193d-4e69-be69-87ed19204da0}</x14:id>
        </ext>
      </extLst>
    </cfRule>
  </conditionalFormatting>
  <conditionalFormatting sqref="I11:I18 I3:I7 I26 I20:I23 I9 I28:I30 I32:I5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{2bc491ac-0919-4df1-b05b-c2556d76ce29}</x14:id>
        </ext>
      </extLst>
    </cfRule>
  </conditionalFormatting>
  <conditionalFormatting sqref="I26 I20:I23 I3:I7 I11:I18 I9 I28:I30 I32:I38 I40:I5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{750e69f7-5f96-4d4c-aa99-1d48c2b8295a}</x14:id>
        </ext>
      </extLst>
    </cfRule>
  </conditionalFormatting>
  <conditionalFormatting sqref="I26 I3:I24 I32:I51 I28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{39a9d97c-1701-4008-b243-abcc23b82f6b}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f9f52c-85a9-499b-ae27-3ebe825d11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b036c6b4-b3b1-447e-9995-6217e4e4fe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20fa9b1b-7838-4ea5-b137-a512bdd605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c3fe1633-2d15-4c57-b396-2ebba2782a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I1:I26 I28:I1048576</xm:sqref>
        </x14:conditionalFormatting>
        <x14:conditionalFormatting xmlns:xm="http://schemas.microsoft.com/office/excel/2006/main">
          <x14:cfRule type="dataBar" id="{c2454dbf-2bba-497e-bb46-cf5ae34c8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I20:I24 I26 I28:I1048576 I11:I18</xm:sqref>
        </x14:conditionalFormatting>
        <x14:conditionalFormatting xmlns:xm="http://schemas.microsoft.com/office/excel/2006/main">
          <x14:cfRule type="dataBar" id="{47aaa231-4aaf-4fd8-bdd3-2ae040de8f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I20:I23 I26 I28:I1048576 I11:I18</xm:sqref>
        </x14:conditionalFormatting>
        <x14:conditionalFormatting xmlns:xm="http://schemas.microsoft.com/office/excel/2006/main">
          <x14:cfRule type="dataBar" id="{b838d886-995e-4ce0-817f-9f82e986b4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 I28:I1048576</xm:sqref>
        </x14:conditionalFormatting>
        <x14:conditionalFormatting xmlns:xm="http://schemas.microsoft.com/office/excel/2006/main">
          <x14:cfRule type="dataBar" id="{86dcc80c-759d-4a5a-acd3-643f9ca3fc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 I28:I1048576</xm:sqref>
        </x14:conditionalFormatting>
        <x14:conditionalFormatting xmlns:xm="http://schemas.microsoft.com/office/excel/2006/main">
          <x14:cfRule type="dataBar" id="{f23da25e-49e7-4674-b7d1-52a3df7f43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I52:I1048576 I31</xm:sqref>
        </x14:conditionalFormatting>
        <x14:conditionalFormatting xmlns:xm="http://schemas.microsoft.com/office/excel/2006/main">
          <x14:cfRule type="dataBar" id="{3eac9ceb-21d2-4efc-920e-08e287498c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I26 I11:I18 I9 I7 I40:I1048576 I20:I23 I28:I38</xm:sqref>
        </x14:conditionalFormatting>
        <x14:conditionalFormatting xmlns:xm="http://schemas.microsoft.com/office/excel/2006/main">
          <x14:cfRule type="dataBar" id="{6646db04-ae3d-46e5-bbff-2d8592bdc8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I9 I26 I7 I11:I16 I40:I1048576 I20:I23 I18 I28:I38</xm:sqref>
        </x14:conditionalFormatting>
        <x14:conditionalFormatting xmlns:xm="http://schemas.microsoft.com/office/excel/2006/main">
          <x14:cfRule type="dataBar" id="{3d9ec24e-a1da-440a-bfaa-cbf724d2cd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I3:I5 I7 I18 I9 I20:I23 I26 I37:I38 I29 I32:I34 I40:I41 I43:I48 I50:I51</xm:sqref>
        </x14:conditionalFormatting>
        <x14:conditionalFormatting xmlns:xm="http://schemas.microsoft.com/office/excel/2006/main">
          <x14:cfRule type="dataBar" id="{213a9139-65c9-4b34-a9e0-585d2d02d4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I3:I5 I7 I12:I14 I9 I20:I23 I37:I38 I29 I32:I34 I40:I41 I43:I48 I50:I51</xm:sqref>
        </x14:conditionalFormatting>
        <x14:conditionalFormatting xmlns:xm="http://schemas.microsoft.com/office/excel/2006/main">
          <x14:cfRule type="dataBar" id="{ab67dc00-3d99-4bc8-8c0f-a963b304cf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I3:I5 I7 I12:I14 I9 I20:I23 I26 I18 I50:I51 I29 I32:I34 I37:I38 I40:I41 I43:I48</xm:sqref>
        </x14:conditionalFormatting>
        <x14:conditionalFormatting xmlns:xm="http://schemas.microsoft.com/office/excel/2006/main">
          <x14:cfRule type="dataBar" id="{f2ad4f43-4518-41c6-8a22-0234dd053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I3:I5 I7 I20:I23 I9 I16 I26 I18 I40:I41 I29:I30 I43:I51 I32:I35 I37:I38</xm:sqref>
        </x14:conditionalFormatting>
        <x14:conditionalFormatting xmlns:xm="http://schemas.microsoft.com/office/excel/2006/main">
          <x14:cfRule type="dataBar" id="{fcc7d6c5-9727-4ec5-bfc8-cb96708af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I20:I23 I3:I5 I7 I16 I9 I11:I14 I26 I18 I50:I51 I32:I34 I37:I38 I40:I41 I43:I48 I29:I30</xm:sqref>
        </x14:conditionalFormatting>
        <x14:conditionalFormatting xmlns:xm="http://schemas.microsoft.com/office/excel/2006/main">
          <x14:cfRule type="dataBar" id="{2e9e720d-2fc5-47e8-986e-7a35ff4caf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I20:I23 I3:I5 I7 I26 I9 I11:I16 I28:I30 I32:I38 I40:I51</xm:sqref>
        </x14:conditionalFormatting>
        <x14:conditionalFormatting xmlns:xm="http://schemas.microsoft.com/office/excel/2006/main">
          <x14:cfRule type="dataBar" id="{d8123ca4-e3e4-41ac-9faf-b882f660c7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I3:I5 I7 I20:I23 I9 I18 I26 I40:I51 I29:I30 I32:I38</xm:sqref>
        </x14:conditionalFormatting>
        <x14:conditionalFormatting xmlns:xm="http://schemas.microsoft.com/office/excel/2006/main">
          <x14:cfRule type="dataBar" id="{57788638-193d-4e69-be69-87ed19204d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I3:I5 I7 I20:I23 I9 I26 I32:I38 I28:I30 I40:I51</xm:sqref>
        </x14:conditionalFormatting>
        <x14:conditionalFormatting xmlns:xm="http://schemas.microsoft.com/office/excel/2006/main">
          <x14:cfRule type="dataBar" id="{2bc491ac-0919-4df1-b05b-c2556d76c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I26 I20:I23 I9 I28:I30 I32:I51</xm:sqref>
        </x14:conditionalFormatting>
        <x14:conditionalFormatting xmlns:xm="http://schemas.microsoft.com/office/excel/2006/main">
          <x14:cfRule type="dataBar" id="{750e69f7-5f96-4d4c-aa99-1d48c2b829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I20:I23 I3:I7 I11:I18 I9 I28:I30 I32:I38 I40:I51</xm:sqref>
        </x14:conditionalFormatting>
        <x14:conditionalFormatting xmlns:xm="http://schemas.microsoft.com/office/excel/2006/main">
          <x14:cfRule type="dataBar" id="{39a9d97c-1701-4008-b243-abcc23b82f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I3:I24 I32:I51 I28:I30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2026-07-02T04:43:10Z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