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<sst xmlns="http://schemas.openxmlformats.org/spreadsheetml/2006/main" count="326" uniqueCount="117">
  <si>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</si>
  <si>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</si>
  <si>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</si>
  <si>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</si>
  <si>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</si>
  <si>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</si>
  <si>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</si>
  <si>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</si>
  <si>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</si>
  <si>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</si>
  <si>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</si>
  <si>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</si>
  <si>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</si>
  <si>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AL_1S_2</t>
  </si>
  <si>
    <t>MoFangYa_</t>
  </si>
  <si>
    <t>Celi2357</t>
  </si>
  <si>
    <t>BYyihan</t>
  </si>
  <si>
    <t>KIRINIT</t>
  </si>
  <si>
    <t>↑1</t>
  </si>
  <si>
    <t>Mtve</t>
  </si>
  <si>
    <t>qmzp_</t>
  </si>
  <si>
    <t>↓1</t>
  </si>
  <si>
    <t>zkiftie</t>
  </si>
  <si>
    <t>Disha_UUU2</t>
  </si>
  <si>
    <t>_LoveSelf_</t>
  </si>
  <si>
    <t>dog</t>
  </si>
  <si>
    <t>NGZI</t>
  </si>
  <si>
    <t>Guramchik</t>
  </si>
  <si>
    <t>Press_on</t>
  </si>
  <si>
    <t>用于购买内存条</t>
  </si>
  <si>
    <t>partyking1145</t>
  </si>
  <si>
    <t>购买内存条</t>
  </si>
  <si>
    <t>xiaoshenjin233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</si>
  <si>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</si>
  <si>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</si>
  <si>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</si>
  <si>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</si>
  <si>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</si>
  <si>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</si>
  <si>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</si>
  <si>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</si>
  <si>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</si>
  <si>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</si>
  <si>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</si>
  <si>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</si>
  <si>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</si>
  <si>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</si>
  <si>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</si>
  <si>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</si>
  <si>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</si>
  <si>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</si>
  <si>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</si>
  <si>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</si>
  <si>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</si>
  <si>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</si>
  <si>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</si>
  <si>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</si>
  <si>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red_chipi</t>
  </si>
  <si>
    <t>↑24</t>
  </si>
  <si>
    <t>5下界合金锭</t>
  </si>
  <si>
    <t>Goocheu_fox</t>
  </si>
  <si>
    <t>Cr_Dragon</t>
  </si>
  <si>
    <t>拍卖账号</t>
  </si>
  <si>
    <t>XL12</t>
  </si>
  <si>
    <t>鞘翅、TP、电费、羊毛、村民、TNT</t>
  </si>
  <si>
    <t>Xiaoyingawa</t>
  </si>
  <si>
    <t>电费、经验</t>
  </si>
  <si>
    <t>hanfengzunzhe</t>
  </si>
  <si>
    <t>书架、紫珀块</t>
  </si>
  <si>
    <t>Onion520</t>
  </si>
  <si>
    <t>电费</t>
  </si>
  <si>
    <t>lhl</t>
  </si>
  <si>
    <t>10书架</t>
  </si>
  <si>
    <t>xhf</t>
  </si>
  <si>
    <t>YuSaMa1145</t>
  </si>
  <si>
    <t>拍卖账号等</t>
  </si>
  <si>
    <t>Mo_Xuan_Yu</t>
  </si>
  <si>
    <t>前哨战坐标等</t>
  </si>
  <si>
    <t>xiaomin</t>
  </si>
  <si>
    <t>主板、CPU、电源、机械硬盘</t>
  </si>
  <si>
    <t>海绵、电费、鞘翅、遗物</t>
  </si>
  <si>
    <t>A1TanJZ</t>
  </si>
  <si>
    <t>村民</t>
  </si>
  <si>
    <t>4不详宝库</t>
  </si>
  <si>
    <t>2村民蛋</t>
  </si>
  <si>
    <t>littlefish1688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</si>
  <si>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</si>
  <si>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</si>
  <si>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</si>
  <si>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</si>
  <si>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</si>
  <si>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</si>
  <si>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</si>
  <si>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</si>
  <si>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</si>
  <si>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</si>
  <si>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</si>
  <si>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</si>
  <si>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</si>
  <si>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</si>
  <si>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</si>
  <si>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</si>
  <si>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</si>
  <si>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</si>
  <si>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</si>
  <si>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</si>
  <si>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</si>
  <si>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</si>
  <si>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</si>
  <si>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</si>
  <si>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</si>
  <si>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</si>
  <si>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</si>
  <si>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</si>
  <si>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</si>
  <si>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钻石胸甲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</si>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</sst>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31" fontId="0" fillId="0" borderId="13" xfId="0" applyNumberForma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31" fontId="0" fillId="0" borderId="7" xfId="0" applyNumberFormat="1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10" xfId="0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62"/>
  <sheetViews>
    <sheetView tabSelected="1" workbookViewId="0">
      <pane ySplit="2" topLeftCell="A3" activePane="bottomLeft" state="frozen"/>
      <selection/>
      <selection pane="bottomLeft" activeCell="K9" sqref="K9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SUM(C44,C49,C51:C51,C53,C58:C58,C60:C60,C63,C66:C66,C68:C68,C70,C72:C72,C77,C91,C95,C125,C127,C136,C138,C141,C148,C150,C152,C154,C156,C159)</f>
        <v>537</v>
      </c>
      <c r="J3" s="3">
        <v>46204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SUM(C10,C15,C18:C18,C21:C21,C24,C31:C31,C36,C43,C88,C90,C114)</f>
        <v>504.2</v>
      </c>
      <c r="J4" s="3">
        <v>45975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" t="s">
        <v>17</v>
      </c>
      <c r="I5" s="2">
        <f>SUM(C110:C110,C113,C116,C118,C129,C134,C142,C151,C153,C158)</f>
        <v>500</v>
      </c>
      <c r="J5" s="3">
        <v>46205</v>
      </c>
      <c r="K5" t="s">
        <v>18</v>
      </c>
    </row>
    <row r="6" spans="1:11">
      <c r="A6" s="12"/>
      <c r="B6" s="8" t="s">
        <v>19</v>
      </c>
      <c r="C6" s="13">
        <v>3</v>
      </c>
      <c r="D6" s="14"/>
      <c r="E6" s="9"/>
      <c r="G6" s="15">
        <v>4</v>
      </c>
      <c r="H6" s="10" t="s">
        <v>20</v>
      </c>
      <c r="I6" s="16">
        <f>SUM(C28:C28,C32:C32,C34:C34,C37,C39,C42:C42,C54,C57,C59,C61,C67,C69,C71,C76)</f>
        <v>285.96</v>
      </c>
      <c r="J6" s="3">
        <v>45654</v>
      </c>
      <c r="K6" t="s">
        <v>21</v>
      </c>
    </row>
    <row r="7" spans="1:11">
      <c r="A7" s="12"/>
      <c r="B7" s="8" t="s">
        <v>22</v>
      </c>
      <c r="C7" s="13">
        <v>1.28</v>
      </c>
      <c r="D7" s="14"/>
      <c r="E7" s="9"/>
      <c r="G7" s="15">
        <v>5</v>
      </c>
      <c r="H7" s="10" t="s">
        <v>23</v>
      </c>
      <c r="I7" s="16">
        <f>SUM(C11,C16,C29,C25,C62,C81:C81)</f>
        <v>239.66</v>
      </c>
      <c r="J7" s="3">
        <v>45829</v>
      </c>
    </row>
    <row r="8" spans="1:11">
      <c r="A8" s="17">
        <v>44164</v>
      </c>
      <c r="B8" s="8" t="s">
        <v>24</v>
      </c>
      <c r="C8" s="13">
        <v>9</v>
      </c>
      <c r="D8" s="14">
        <f>SUM(C3:C8)</f>
        <v>24.83</v>
      </c>
      <c r="E8" s="9"/>
      <c r="G8" s="15">
        <v>6</v>
      </c>
      <c r="H8" s="10" t="s">
        <v>25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26</v>
      </c>
      <c r="C9" s="13">
        <v>0.1</v>
      </c>
      <c r="D9" s="14">
        <f>SUM(C3:C9)</f>
        <v>24.93</v>
      </c>
      <c r="E9" s="9"/>
      <c r="G9" s="15">
        <v>7</v>
      </c>
      <c r="H9" s="10" t="s">
        <v>27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15</v>
      </c>
      <c r="C10" s="13">
        <v>39</v>
      </c>
      <c r="D10" s="14">
        <f>SUM(C3:C10)</f>
        <v>63.93</v>
      </c>
      <c r="E10" s="9"/>
      <c r="G10" s="15">
        <v>8</v>
      </c>
      <c r="H10" s="1" t="s">
        <v>28</v>
      </c>
      <c r="I10" s="2">
        <f>SUM(C133,C143,C147,C155)</f>
        <v>63.32</v>
      </c>
      <c r="J10" s="3">
        <v>46196</v>
      </c>
    </row>
    <row r="11" spans="1:11">
      <c r="A11" s="17">
        <v>44781</v>
      </c>
      <c r="B11" s="8" t="s">
        <v>23</v>
      </c>
      <c r="C11" s="13">
        <v>130</v>
      </c>
      <c r="D11" s="14">
        <f>SUM(C3:C11)</f>
        <v>193.93</v>
      </c>
      <c r="E11" s="9" t="s">
        <v>29</v>
      </c>
      <c r="G11" s="15">
        <v>9</v>
      </c>
      <c r="H11" s="10" t="s">
        <v>30</v>
      </c>
      <c r="I11" s="2">
        <f>SUM(C86,C101,C105,C107,C112,C119,C124)</f>
        <v>52.01</v>
      </c>
      <c r="J11" s="3">
        <v>46047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31</v>
      </c>
      <c r="G12" s="15">
        <v>10</v>
      </c>
      <c r="H12" s="10" t="s">
        <v>24</v>
      </c>
      <c r="I12" s="16">
        <f>SUM(C8:C8,C47,C45,C50:C50)</f>
        <v>49</v>
      </c>
      <c r="J12" s="3">
        <v>45505</v>
      </c>
    </row>
    <row r="13" spans="1:11">
      <c r="A13" s="17">
        <v>44787</v>
      </c>
      <c r="B13" s="8" t="s">
        <v>32</v>
      </c>
      <c r="C13" s="13">
        <v>5.02</v>
      </c>
      <c r="D13" s="14">
        <f>SUM(C3:C13)</f>
        <v>-0.0499999999999936</v>
      </c>
      <c r="E13" s="9"/>
      <c r="G13" s="15">
        <v>11</v>
      </c>
      <c r="H13" s="10" t="s">
        <v>12</v>
      </c>
      <c r="I13" s="16">
        <f>SUM(C3,C20:C20,C38,C104,C111)</f>
        <v>39</v>
      </c>
      <c r="J13" s="3">
        <v>45968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33</v>
      </c>
      <c r="G14" s="15">
        <v>12</v>
      </c>
      <c r="H14" s="10" t="s">
        <v>34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15</v>
      </c>
      <c r="C15" s="13">
        <v>120</v>
      </c>
      <c r="D15" s="20">
        <f>SUM(C3:C15)</f>
        <v>-660.05</v>
      </c>
      <c r="E15" s="9" t="s">
        <v>35</v>
      </c>
      <c r="G15" s="15">
        <v>13</v>
      </c>
      <c r="H15" s="10" t="s">
        <v>36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23</v>
      </c>
      <c r="C16" s="13">
        <v>13</v>
      </c>
      <c r="D16" s="14">
        <f>SUM(C3:C16)</f>
        <v>-647.05</v>
      </c>
      <c r="E16" s="9"/>
      <c r="G16" s="15">
        <v>14</v>
      </c>
      <c r="H16" s="10" t="s">
        <v>37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38</v>
      </c>
      <c r="C17" s="13">
        <v>10</v>
      </c>
      <c r="D17" s="20">
        <f>SUM(C3:C17)</f>
        <v>-637.05</v>
      </c>
      <c r="E17" s="9" t="s">
        <v>39</v>
      </c>
      <c r="G17" s="15">
        <v>15</v>
      </c>
      <c r="H17" s="1" t="s">
        <v>40</v>
      </c>
      <c r="I17" s="2">
        <v>15</v>
      </c>
      <c r="J17" s="3">
        <v>45930</v>
      </c>
    </row>
    <row r="18" spans="1:11">
      <c r="A18" s="17">
        <v>44958</v>
      </c>
      <c r="B18" s="8" t="s">
        <v>15</v>
      </c>
      <c r="C18" s="13">
        <f>11+45+29</f>
        <v>85</v>
      </c>
      <c r="D18" s="21">
        <f>SUM(C3:C19)</f>
        <v>-550.73</v>
      </c>
      <c r="E18" s="9" t="s">
        <v>41</v>
      </c>
      <c r="G18" s="15">
        <v>16</v>
      </c>
      <c r="H18" s="10" t="s">
        <v>42</v>
      </c>
      <c r="I18" s="16">
        <f>SUM(C40,C64)</f>
        <v>11</v>
      </c>
      <c r="J18" s="3">
        <v>45555</v>
      </c>
    </row>
    <row r="19" spans="1:11">
      <c r="A19" s="17"/>
      <c r="B19" s="22" t="s">
        <v>43</v>
      </c>
      <c r="C19" s="13">
        <v>1.32</v>
      </c>
      <c r="D19" s="23"/>
      <c r="E19" s="9"/>
      <c r="G19" s="15">
        <v>17</v>
      </c>
      <c r="H19" s="1" t="s">
        <v>44</v>
      </c>
      <c r="I19" s="2">
        <f>SUM(C135,C139,C146)</f>
        <v>10.5</v>
      </c>
      <c r="J19" s="3">
        <v>46145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38</v>
      </c>
      <c r="I20" s="16">
        <v>10</v>
      </c>
      <c r="J20" s="3">
        <v>44953</v>
      </c>
    </row>
    <row r="21" spans="1:11">
      <c r="A21" s="17">
        <v>45138</v>
      </c>
      <c r="B21" s="8" t="s">
        <v>15</v>
      </c>
      <c r="C21" s="13">
        <f>6+84+10+10</f>
        <v>110</v>
      </c>
      <c r="D21" s="14">
        <f>SUM(C3:C21)</f>
        <v>-428.73</v>
      </c>
      <c r="E21" s="9" t="s">
        <v>45</v>
      </c>
      <c r="G21" s="15">
        <v>19</v>
      </c>
      <c r="H21" s="10" t="s">
        <v>46</v>
      </c>
      <c r="I21" s="16">
        <v>10</v>
      </c>
      <c r="J21" s="3">
        <v>45234</v>
      </c>
    </row>
    <row r="22" spans="1:11">
      <c r="A22" s="17">
        <v>45140</v>
      </c>
      <c r="B22" s="8" t="s">
        <v>47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48</v>
      </c>
      <c r="I22" s="16">
        <v>10</v>
      </c>
      <c r="J22" s="3">
        <v>45325</v>
      </c>
    </row>
    <row r="23" spans="1:11">
      <c r="A23" s="17">
        <v>45141</v>
      </c>
      <c r="B23" s="8" t="s">
        <v>49</v>
      </c>
      <c r="C23" s="13">
        <v>1.01</v>
      </c>
      <c r="D23" s="21">
        <f>SUM(C3:C24)</f>
        <v>-418.61</v>
      </c>
      <c r="E23" s="9"/>
      <c r="G23" s="15">
        <v>21</v>
      </c>
      <c r="H23" s="10" t="s">
        <v>50</v>
      </c>
      <c r="I23" s="16">
        <v>10</v>
      </c>
      <c r="J23" s="3">
        <v>45649</v>
      </c>
    </row>
    <row r="24" spans="1:11">
      <c r="A24" s="17"/>
      <c r="B24" s="8" t="s">
        <v>15</v>
      </c>
      <c r="C24" s="13">
        <v>9</v>
      </c>
      <c r="D24" s="23"/>
      <c r="E24" s="9" t="s">
        <v>51</v>
      </c>
      <c r="G24" s="15">
        <v>22</v>
      </c>
      <c r="H24" s="1" t="s">
        <v>52</v>
      </c>
      <c r="I24" s="2">
        <v>10</v>
      </c>
      <c r="J24" s="3">
        <v>46069</v>
      </c>
    </row>
    <row r="25" spans="1:11">
      <c r="A25" s="17">
        <v>45160</v>
      </c>
      <c r="B25" s="8" t="s">
        <v>23</v>
      </c>
      <c r="C25" s="13">
        <v>3</v>
      </c>
      <c r="D25" s="14">
        <f>SUM(C3:C25)</f>
        <v>-415.61</v>
      </c>
      <c r="E25" s="9"/>
      <c r="G25" s="15">
        <v>23</v>
      </c>
      <c r="H25" s="10" t="s">
        <v>53</v>
      </c>
      <c r="I25" s="16">
        <v>10</v>
      </c>
      <c r="J25" s="3">
        <v>46145</v>
      </c>
    </row>
    <row r="26" spans="1:11">
      <c r="A26" s="17">
        <v>45234</v>
      </c>
      <c r="B26" s="8" t="s">
        <v>46</v>
      </c>
      <c r="C26" s="13">
        <v>10</v>
      </c>
      <c r="D26" s="21">
        <f>SUM(C3:C27)</f>
        <v>-415.61</v>
      </c>
      <c r="E26" s="9" t="s">
        <v>54</v>
      </c>
      <c r="G26">
        <v>24</v>
      </c>
      <c r="H26" s="10" t="s">
        <v>55</v>
      </c>
      <c r="I26" s="2">
        <v>8</v>
      </c>
      <c r="J26" s="3">
        <v>45860</v>
      </c>
    </row>
    <row r="27" spans="1:11">
      <c r="A27" s="17"/>
      <c r="B27" s="8"/>
      <c r="C27" s="18">
        <v>-10</v>
      </c>
      <c r="D27" s="23"/>
      <c r="E27" s="9" t="s">
        <v>56</v>
      </c>
      <c r="G27">
        <v>25</v>
      </c>
      <c r="H27" s="10" t="s">
        <v>57</v>
      </c>
      <c r="I27" s="2">
        <v>8</v>
      </c>
      <c r="J27" s="3">
        <v>46205</v>
      </c>
      <c r="K27" t="s">
        <v>58</v>
      </c>
    </row>
    <row r="28" spans="1:11">
      <c r="A28" s="17">
        <v>45249</v>
      </c>
      <c r="B28" s="8" t="s">
        <v>20</v>
      </c>
      <c r="C28" s="13">
        <v>15.5</v>
      </c>
      <c r="D28" s="14">
        <f>SUM(C3:C28)</f>
        <v>-400.11</v>
      </c>
      <c r="E28" s="9" t="s">
        <v>59</v>
      </c>
      <c r="G28">
        <v>26</v>
      </c>
      <c r="H28" s="10" t="s">
        <v>60</v>
      </c>
      <c r="I28" s="2">
        <v>7.33</v>
      </c>
      <c r="J28" s="3">
        <v>45907</v>
      </c>
      <c r="K28" t="s">
        <v>21</v>
      </c>
    </row>
    <row r="29" spans="1:11">
      <c r="A29" s="17">
        <v>45305</v>
      </c>
      <c r="B29" s="8" t="s">
        <v>23</v>
      </c>
      <c r="C29" s="13">
        <v>50</v>
      </c>
      <c r="D29" s="14">
        <f>SUM(C3:C29)</f>
        <v>-350.11</v>
      </c>
      <c r="E29" s="9"/>
      <c r="G29">
        <v>27</v>
      </c>
      <c r="H29" s="10" t="s">
        <v>61</v>
      </c>
      <c r="I29" s="16">
        <f>SUM(C82,C84,C94)</f>
        <v>6.98</v>
      </c>
      <c r="J29" s="3">
        <v>45861</v>
      </c>
      <c r="K29" t="s">
        <v>21</v>
      </c>
    </row>
    <row r="30" spans="1:11">
      <c r="A30" s="17">
        <v>45325</v>
      </c>
      <c r="B30" s="8" t="s">
        <v>48</v>
      </c>
      <c r="C30" s="13">
        <v>10</v>
      </c>
      <c r="D30" s="20">
        <f>SUM(C3:C30)</f>
        <v>-340.11</v>
      </c>
      <c r="E30" s="9" t="s">
        <v>62</v>
      </c>
      <c r="G30">
        <v>28</v>
      </c>
      <c r="H30" s="10" t="s">
        <v>63</v>
      </c>
      <c r="I30" s="2">
        <v>6</v>
      </c>
      <c r="J30" s="3">
        <v>45868</v>
      </c>
      <c r="K30" t="s">
        <v>21</v>
      </c>
    </row>
    <row r="31" spans="1:11">
      <c r="A31" s="17">
        <v>45341</v>
      </c>
      <c r="B31" s="8" t="s">
        <v>15</v>
      </c>
      <c r="C31" s="13">
        <v>68</v>
      </c>
      <c r="D31" s="14">
        <f>SUM(C3:C31)</f>
        <v>-272.11</v>
      </c>
      <c r="E31" s="9" t="s">
        <v>64</v>
      </c>
      <c r="G31">
        <v>29</v>
      </c>
      <c r="H31" s="10" t="s">
        <v>65</v>
      </c>
      <c r="I31" s="2">
        <v>5.04</v>
      </c>
      <c r="J31" s="3">
        <v>46160</v>
      </c>
      <c r="K31" t="s">
        <v>21</v>
      </c>
    </row>
    <row r="32" spans="1:11">
      <c r="A32" s="17">
        <v>45368</v>
      </c>
      <c r="B32" s="8" t="s">
        <v>20</v>
      </c>
      <c r="C32" s="13">
        <v>33.01</v>
      </c>
      <c r="D32" s="14">
        <f>SUM(C3:C32)</f>
        <v>-239.1</v>
      </c>
      <c r="E32" s="9" t="s">
        <v>66</v>
      </c>
      <c r="G32">
        <v>30</v>
      </c>
      <c r="H32" s="10" t="s">
        <v>32</v>
      </c>
      <c r="I32" s="16">
        <v>5.02</v>
      </c>
      <c r="J32" s="3">
        <v>44787</v>
      </c>
      <c r="K32" t="s">
        <v>21</v>
      </c>
    </row>
    <row r="33" spans="1:11">
      <c r="A33" s="17">
        <v>45387</v>
      </c>
      <c r="B33" s="8" t="s">
        <v>67</v>
      </c>
      <c r="C33" s="13">
        <v>1.38</v>
      </c>
      <c r="D33" s="14">
        <f>SUM(C3:C33)</f>
        <v>-237.72</v>
      </c>
      <c r="E33" s="9" t="s">
        <v>68</v>
      </c>
      <c r="G33">
        <v>31</v>
      </c>
      <c r="H33" s="10" t="s">
        <v>69</v>
      </c>
      <c r="I33" s="16">
        <v>5</v>
      </c>
      <c r="J33" s="3">
        <v>45634</v>
      </c>
      <c r="K33" t="s">
        <v>21</v>
      </c>
    </row>
    <row r="34" spans="1:11">
      <c r="A34" s="17">
        <v>45394</v>
      </c>
      <c r="B34" s="8" t="s">
        <v>20</v>
      </c>
      <c r="C34" s="13">
        <v>16</v>
      </c>
      <c r="D34" s="14">
        <f>SUM(C3:C34)</f>
        <v>-221.72</v>
      </c>
      <c r="E34" s="9" t="s">
        <v>70</v>
      </c>
      <c r="G34">
        <v>32</v>
      </c>
      <c r="H34" s="10" t="s">
        <v>71</v>
      </c>
      <c r="I34" s="16">
        <v>4.15</v>
      </c>
      <c r="J34" s="3">
        <v>45707</v>
      </c>
      <c r="K34" t="s">
        <v>21</v>
      </c>
    </row>
    <row r="35" spans="1:11">
      <c r="A35" s="17">
        <v>45396</v>
      </c>
      <c r="B35" s="8" t="s">
        <v>67</v>
      </c>
      <c r="C35" s="13">
        <v>0.8</v>
      </c>
      <c r="D35" s="14">
        <f>SUM(C3:C35)</f>
        <v>-220.92</v>
      </c>
      <c r="E35" s="9" t="s">
        <v>72</v>
      </c>
      <c r="G35">
        <v>33</v>
      </c>
      <c r="H35" s="10" t="s">
        <v>73</v>
      </c>
      <c r="I35" s="2">
        <v>4</v>
      </c>
      <c r="J35" s="3">
        <v>45885</v>
      </c>
      <c r="K35" t="s">
        <v>21</v>
      </c>
    </row>
    <row r="36" spans="1:11">
      <c r="A36" s="17">
        <v>45403</v>
      </c>
      <c r="B36" s="8" t="s">
        <v>15</v>
      </c>
      <c r="C36" s="13">
        <v>3.2</v>
      </c>
      <c r="D36" s="14">
        <f>SUM(C3:C36)</f>
        <v>-217.72</v>
      </c>
      <c r="E36" s="9"/>
      <c r="G36">
        <v>34</v>
      </c>
      <c r="H36" s="1" t="s">
        <v>74</v>
      </c>
      <c r="I36" s="2">
        <f>SUM(C100,C108)</f>
        <v>4</v>
      </c>
      <c r="J36" s="3">
        <v>45934</v>
      </c>
      <c r="K36" t="s">
        <v>21</v>
      </c>
    </row>
    <row r="37" spans="1:11">
      <c r="A37" s="17">
        <v>45403</v>
      </c>
      <c r="B37" s="8" t="s">
        <v>20</v>
      </c>
      <c r="C37" s="13">
        <v>5</v>
      </c>
      <c r="D37" s="14">
        <f>SUM(C3:C37)</f>
        <v>-212.72</v>
      </c>
      <c r="E37" s="9" t="s">
        <v>70</v>
      </c>
      <c r="G37">
        <v>35</v>
      </c>
      <c r="H37" s="10" t="s">
        <v>19</v>
      </c>
      <c r="I37" s="16">
        <v>3</v>
      </c>
      <c r="J37" s="3" t="s">
        <v>11</v>
      </c>
      <c r="K37" t="s">
        <v>21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75</v>
      </c>
      <c r="G38" s="15">
        <v>36</v>
      </c>
      <c r="H38" s="10" t="s">
        <v>76</v>
      </c>
      <c r="I38" s="16">
        <v>3</v>
      </c>
      <c r="J38" s="3">
        <v>45500</v>
      </c>
      <c r="K38" t="s">
        <v>21</v>
      </c>
    </row>
    <row r="39" spans="1:11">
      <c r="A39" s="17">
        <v>45417</v>
      </c>
      <c r="B39" s="8" t="s">
        <v>20</v>
      </c>
      <c r="C39" s="13">
        <v>11</v>
      </c>
      <c r="D39" s="14">
        <f>SUM(C3:C39)</f>
        <v>-194.72</v>
      </c>
      <c r="E39" s="9" t="s">
        <v>77</v>
      </c>
      <c r="G39" s="15">
        <v>37</v>
      </c>
      <c r="H39" s="10" t="s">
        <v>78</v>
      </c>
      <c r="I39" s="2">
        <v>2.5</v>
      </c>
      <c r="J39" s="3">
        <v>45976</v>
      </c>
      <c r="K39" t="s">
        <v>21</v>
      </c>
    </row>
    <row r="40" spans="1:11">
      <c r="A40" s="17">
        <v>45421</v>
      </c>
      <c r="B40" s="8" t="s">
        <v>42</v>
      </c>
      <c r="C40" s="13">
        <v>5</v>
      </c>
      <c r="D40" s="14">
        <f>SUM(C3:C40)</f>
        <v>-189.72</v>
      </c>
      <c r="E40" s="9" t="s">
        <v>70</v>
      </c>
      <c r="G40" s="15">
        <v>38</v>
      </c>
      <c r="H40" s="10" t="s">
        <v>67</v>
      </c>
      <c r="I40" s="16">
        <f>SUM(C35,C33:C33)</f>
        <v>2.18</v>
      </c>
      <c r="J40" s="3">
        <v>45396</v>
      </c>
      <c r="K40" t="s">
        <v>21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79</v>
      </c>
      <c r="G41">
        <v>39</v>
      </c>
      <c r="H41" s="10" t="s">
        <v>16</v>
      </c>
      <c r="I41" s="16">
        <v>2</v>
      </c>
      <c r="J41" s="3" t="s">
        <v>11</v>
      </c>
      <c r="K41" t="s">
        <v>21</v>
      </c>
    </row>
    <row r="42" spans="1:11">
      <c r="A42" s="17">
        <v>45494</v>
      </c>
      <c r="B42" s="8" t="s">
        <v>20</v>
      </c>
      <c r="C42" s="13">
        <v>82.45</v>
      </c>
      <c r="D42" s="21">
        <f>SUM(C3:C43)</f>
        <v>-1915.27</v>
      </c>
      <c r="E42" s="9" t="s">
        <v>80</v>
      </c>
      <c r="G42" s="15">
        <v>40</v>
      </c>
      <c r="H42" s="1" t="s">
        <v>81</v>
      </c>
      <c r="I42" s="2">
        <v>2</v>
      </c>
      <c r="J42" s="3">
        <v>45907</v>
      </c>
      <c r="K42" t="s">
        <v>21</v>
      </c>
    </row>
    <row r="43" spans="1:11">
      <c r="A43" s="17"/>
      <c r="B43" s="8" t="s">
        <v>15</v>
      </c>
      <c r="C43" s="13">
        <v>2</v>
      </c>
      <c r="D43" s="23"/>
      <c r="E43" s="9" t="s">
        <v>82</v>
      </c>
      <c r="G43">
        <v>41</v>
      </c>
      <c r="H43" s="24" t="s">
        <v>43</v>
      </c>
      <c r="I43" s="16">
        <v>1.32</v>
      </c>
      <c r="J43" s="3">
        <v>44958</v>
      </c>
      <c r="K43" t="s">
        <v>21</v>
      </c>
    </row>
    <row r="44" spans="1:11">
      <c r="A44" s="25">
        <v>45495</v>
      </c>
      <c r="B44" s="26" t="s">
        <v>13</v>
      </c>
      <c r="C44" s="27">
        <v>8</v>
      </c>
      <c r="D44" s="21">
        <f>SUM(C3:C44)</f>
        <v>-1907.27</v>
      </c>
      <c r="E44" s="28" t="s">
        <v>83</v>
      </c>
      <c r="G44">
        <v>42</v>
      </c>
      <c r="H44" s="10" t="s">
        <v>22</v>
      </c>
      <c r="I44" s="16">
        <v>1.28</v>
      </c>
      <c r="J44" s="3" t="s">
        <v>11</v>
      </c>
      <c r="K44" t="s">
        <v>21</v>
      </c>
    </row>
    <row r="45" spans="1:11">
      <c r="A45" s="25">
        <v>45496</v>
      </c>
      <c r="B45" s="26" t="s">
        <v>24</v>
      </c>
      <c r="C45" s="27">
        <v>5</v>
      </c>
      <c r="D45" s="21">
        <f>SUM(C3:C46)</f>
        <v>-1899.27</v>
      </c>
      <c r="E45" s="28"/>
      <c r="G45">
        <v>43</v>
      </c>
      <c r="H45" s="10" t="s">
        <v>49</v>
      </c>
      <c r="I45" s="16">
        <v>1.01</v>
      </c>
      <c r="J45" s="3">
        <v>45141</v>
      </c>
      <c r="K45" t="s">
        <v>21</v>
      </c>
    </row>
    <row r="46" spans="1:11">
      <c r="A46" s="29"/>
      <c r="B46" s="26" t="s">
        <v>34</v>
      </c>
      <c r="C46" s="27">
        <v>3</v>
      </c>
      <c r="D46" s="30"/>
      <c r="E46" s="28" t="s">
        <v>84</v>
      </c>
      <c r="G46">
        <v>44</v>
      </c>
      <c r="H46" s="10" t="s">
        <v>85</v>
      </c>
      <c r="I46" s="16">
        <v>1</v>
      </c>
      <c r="J46" s="3">
        <v>45794</v>
      </c>
      <c r="K46" t="s">
        <v>21</v>
      </c>
    </row>
    <row r="47" spans="1:11">
      <c r="A47" s="17">
        <v>45497</v>
      </c>
      <c r="B47" s="26" t="s">
        <v>24</v>
      </c>
      <c r="C47" s="27">
        <v>25</v>
      </c>
      <c r="D47" s="21">
        <f>SUM(C3:C47)</f>
        <v>-1874.27</v>
      </c>
      <c r="E47" s="28" t="s">
        <v>86</v>
      </c>
      <c r="G47">
        <v>45</v>
      </c>
      <c r="H47" s="10" t="s">
        <v>14</v>
      </c>
      <c r="I47" s="16">
        <v>0.55</v>
      </c>
      <c r="J47" s="3" t="s">
        <v>11</v>
      </c>
      <c r="K47" t="s">
        <v>21</v>
      </c>
    </row>
    <row r="48" spans="1:11">
      <c r="A48" s="25">
        <v>45500</v>
      </c>
      <c r="B48" s="26" t="s">
        <v>76</v>
      </c>
      <c r="C48" s="27">
        <v>3</v>
      </c>
      <c r="D48" s="21">
        <f>SUM(C3:C49)</f>
        <v>-1866.27</v>
      </c>
      <c r="E48" s="28"/>
      <c r="G48" s="15">
        <v>46</v>
      </c>
      <c r="H48" s="10" t="s">
        <v>87</v>
      </c>
      <c r="I48" s="16">
        <v>0.5</v>
      </c>
      <c r="J48" s="3">
        <v>45697</v>
      </c>
      <c r="K48" t="s">
        <v>21</v>
      </c>
    </row>
    <row r="49" spans="1:11">
      <c r="A49" s="31"/>
      <c r="B49" s="26" t="s">
        <v>13</v>
      </c>
      <c r="C49" s="27">
        <v>5</v>
      </c>
      <c r="D49" s="30"/>
      <c r="E49" s="28" t="s">
        <v>70</v>
      </c>
      <c r="G49">
        <v>47</v>
      </c>
      <c r="H49" s="10" t="s">
        <v>88</v>
      </c>
      <c r="I49" s="2">
        <v>0.5</v>
      </c>
      <c r="J49" s="3">
        <v>45885</v>
      </c>
      <c r="K49" t="s">
        <v>21</v>
      </c>
    </row>
    <row r="50" spans="1:11">
      <c r="A50" s="25">
        <v>45505</v>
      </c>
      <c r="B50" s="26" t="s">
        <v>24</v>
      </c>
      <c r="C50" s="27">
        <v>10</v>
      </c>
      <c r="D50" s="21">
        <f>SUM(C3:C50)</f>
        <v>-1856.27</v>
      </c>
      <c r="E50" s="28" t="s">
        <v>89</v>
      </c>
      <c r="G50">
        <v>48</v>
      </c>
      <c r="H50" s="10" t="s">
        <v>47</v>
      </c>
      <c r="I50" s="16">
        <v>0.11</v>
      </c>
      <c r="J50" s="3">
        <v>45140</v>
      </c>
      <c r="K50" t="s">
        <v>21</v>
      </c>
    </row>
    <row r="51" spans="1:11">
      <c r="A51" s="25">
        <v>45507</v>
      </c>
      <c r="B51" s="26" t="s">
        <v>13</v>
      </c>
      <c r="C51" s="27">
        <v>14</v>
      </c>
      <c r="D51" s="21">
        <f>SUM(C3:C52)</f>
        <v>-1756.27</v>
      </c>
      <c r="E51" s="28" t="s">
        <v>70</v>
      </c>
      <c r="G51">
        <v>49</v>
      </c>
      <c r="H51" s="10" t="s">
        <v>26</v>
      </c>
      <c r="I51" s="16">
        <v>0.1</v>
      </c>
      <c r="J51" s="3">
        <v>44213</v>
      </c>
      <c r="K51" t="s">
        <v>21</v>
      </c>
    </row>
    <row r="52" spans="1:11">
      <c r="A52" s="31"/>
      <c r="B52" s="26" t="s">
        <v>27</v>
      </c>
      <c r="C52" s="27">
        <v>86</v>
      </c>
      <c r="D52" s="30"/>
      <c r="E52" s="28" t="s">
        <v>90</v>
      </c>
    </row>
    <row r="53" spans="1:11">
      <c r="A53" s="25">
        <v>45508</v>
      </c>
      <c r="B53" s="26" t="s">
        <v>13</v>
      </c>
      <c r="C53" s="27">
        <v>9</v>
      </c>
      <c r="D53" s="21">
        <f>SUM(C3:C54)</f>
        <v>-1737.27</v>
      </c>
      <c r="E53" s="28" t="s">
        <v>70</v>
      </c>
    </row>
    <row r="54" spans="1:11">
      <c r="A54" s="31"/>
      <c r="B54" s="26" t="s">
        <v>20</v>
      </c>
      <c r="C54" s="27">
        <v>10</v>
      </c>
      <c r="D54" s="30"/>
      <c r="E54" s="28"/>
    </row>
    <row r="55" spans="1:11">
      <c r="A55" s="25">
        <v>45509</v>
      </c>
      <c r="B55" s="26"/>
      <c r="C55" s="32">
        <v>-10</v>
      </c>
      <c r="D55" s="21">
        <f>SUM(C3:C56)</f>
        <v>-1737.27</v>
      </c>
      <c r="E55" s="28" t="s">
        <v>91</v>
      </c>
    </row>
    <row r="56" spans="1:11">
      <c r="A56" s="31"/>
      <c r="B56" s="26" t="s">
        <v>34</v>
      </c>
      <c r="C56" s="27">
        <v>10</v>
      </c>
      <c r="D56" s="30"/>
      <c r="E56" s="28"/>
    </row>
    <row r="57" spans="1:11">
      <c r="A57" s="25">
        <v>45510</v>
      </c>
      <c r="B57" s="26" t="s">
        <v>20</v>
      </c>
      <c r="C57" s="27">
        <v>40</v>
      </c>
      <c r="D57" s="20">
        <f>SUM(C3:C57)</f>
        <v>-1697.27</v>
      </c>
      <c r="E57" s="28" t="s">
        <v>90</v>
      </c>
    </row>
    <row r="58" spans="1:11">
      <c r="A58" s="25">
        <v>45525</v>
      </c>
      <c r="B58" s="33" t="s">
        <v>13</v>
      </c>
      <c r="C58" s="27">
        <f>6+5+5+5+6+5+5+5+30</f>
        <v>72</v>
      </c>
      <c r="D58" s="21">
        <f>SUM(C3:C58)</f>
        <v>-1625.27</v>
      </c>
      <c r="E58" s="28" t="s">
        <v>92</v>
      </c>
    </row>
    <row r="59" spans="1:11">
      <c r="A59" s="25">
        <v>45525</v>
      </c>
      <c r="B59" s="33" t="s">
        <v>20</v>
      </c>
      <c r="C59" s="27">
        <v>6</v>
      </c>
      <c r="D59" s="21">
        <f>SUM(C3:C59)</f>
        <v>-1619.27</v>
      </c>
      <c r="E59" s="28" t="s">
        <v>93</v>
      </c>
    </row>
    <row r="60" spans="1:11">
      <c r="A60" s="25">
        <v>45549</v>
      </c>
      <c r="B60" s="33" t="s">
        <v>13</v>
      </c>
      <c r="C60" s="27">
        <v>30</v>
      </c>
      <c r="D60" s="21">
        <f>SUM(C3:C61)</f>
        <v>-1569.27</v>
      </c>
      <c r="E60" s="28" t="s">
        <v>70</v>
      </c>
    </row>
    <row r="61" spans="1:11">
      <c r="A61" s="29"/>
      <c r="B61" s="33" t="s">
        <v>20</v>
      </c>
      <c r="C61" s="27">
        <v>20</v>
      </c>
      <c r="D61" s="30"/>
      <c r="E61" s="28" t="s">
        <v>90</v>
      </c>
    </row>
    <row r="62" spans="1:11">
      <c r="A62" s="31">
        <v>45551</v>
      </c>
      <c r="B62" s="33" t="s">
        <v>23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3" t="s">
        <v>13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3" t="s">
        <v>42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27</v>
      </c>
      <c r="C65" s="27">
        <v>20</v>
      </c>
      <c r="D65" s="30"/>
      <c r="E65" s="28" t="s">
        <v>94</v>
      </c>
    </row>
    <row r="66" spans="1:5">
      <c r="A66" s="25">
        <v>45584</v>
      </c>
      <c r="B66" s="33" t="s">
        <v>13</v>
      </c>
      <c r="C66" s="27">
        <v>30</v>
      </c>
      <c r="D66" s="21">
        <f>SUM(C3:C66)</f>
        <v>-1456.27</v>
      </c>
      <c r="E66" s="28" t="s">
        <v>70</v>
      </c>
    </row>
    <row r="67" spans="1:5">
      <c r="A67" s="25">
        <v>45584</v>
      </c>
      <c r="B67" s="33" t="s">
        <v>20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13</v>
      </c>
      <c r="C68" s="27">
        <v>60</v>
      </c>
      <c r="D68" s="21">
        <f>SUM(C3:C68)</f>
        <v>-1389.27</v>
      </c>
      <c r="E68" s="28" t="s">
        <v>95</v>
      </c>
    </row>
    <row r="69" spans="1:5">
      <c r="A69" s="25">
        <v>45597</v>
      </c>
      <c r="B69" s="33" t="s">
        <v>20</v>
      </c>
      <c r="C69" s="27">
        <v>5</v>
      </c>
      <c r="D69" s="21">
        <f>SUM(C3:C69)</f>
        <v>-1384.27</v>
      </c>
      <c r="E69" s="28" t="s">
        <v>70</v>
      </c>
    </row>
    <row r="70" spans="1:5">
      <c r="A70" s="25">
        <v>45598</v>
      </c>
      <c r="B70" s="33" t="s">
        <v>13</v>
      </c>
      <c r="C70" s="27">
        <v>5</v>
      </c>
      <c r="D70" s="21">
        <f>SUM(C3:C70)</f>
        <v>-1379.27</v>
      </c>
      <c r="E70" s="28" t="s">
        <v>70</v>
      </c>
    </row>
    <row r="71" spans="1:5">
      <c r="A71" s="25">
        <v>45612</v>
      </c>
      <c r="B71" s="33" t="s">
        <v>20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13</v>
      </c>
      <c r="C72" s="27">
        <v>15</v>
      </c>
      <c r="D72" s="21">
        <f>SUM(C3:C72)</f>
        <v>-1359.27</v>
      </c>
      <c r="E72" s="28" t="s">
        <v>70</v>
      </c>
    </row>
    <row r="73" spans="1:5">
      <c r="A73" s="17">
        <v>45634</v>
      </c>
      <c r="B73" s="33" t="s">
        <v>69</v>
      </c>
      <c r="C73" s="27">
        <v>5</v>
      </c>
      <c r="D73" s="21">
        <f>SUM(C3:C74)</f>
        <v>-1344.27</v>
      </c>
      <c r="E73" s="28" t="s">
        <v>70</v>
      </c>
    </row>
    <row r="74" spans="1:5">
      <c r="A74" s="17"/>
      <c r="B74" s="33" t="s">
        <v>34</v>
      </c>
      <c r="C74" s="27">
        <v>10</v>
      </c>
      <c r="D74" s="30"/>
      <c r="E74" s="28" t="s">
        <v>96</v>
      </c>
    </row>
    <row r="75" spans="1:5">
      <c r="A75" s="17">
        <v>45649</v>
      </c>
      <c r="B75" s="33" t="s">
        <v>50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20</v>
      </c>
      <c r="C76" s="27">
        <v>30</v>
      </c>
      <c r="D76" s="21">
        <f>SUM(C3:C76)</f>
        <v>-1304.27</v>
      </c>
      <c r="E76" s="28" t="s">
        <v>97</v>
      </c>
    </row>
    <row r="77" spans="1:5">
      <c r="A77" s="25">
        <v>45686</v>
      </c>
      <c r="B77" s="33" t="s">
        <v>13</v>
      </c>
      <c r="C77" s="27">
        <v>9</v>
      </c>
      <c r="D77" s="21">
        <f>SUM(C3:C77)</f>
        <v>-1295.27</v>
      </c>
      <c r="E77" s="28" t="s">
        <v>70</v>
      </c>
    </row>
    <row r="78" spans="1:5">
      <c r="A78" s="25">
        <v>45697</v>
      </c>
      <c r="B78" s="33" t="s">
        <v>87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71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85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23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61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55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61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37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30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63</v>
      </c>
      <c r="C87" s="27">
        <v>6</v>
      </c>
      <c r="D87" s="21">
        <f>SUM(C3:C87)</f>
        <v>-1237.97</v>
      </c>
      <c r="E87" s="28" t="s">
        <v>98</v>
      </c>
    </row>
    <row r="88" spans="1:5">
      <c r="A88" s="25">
        <v>45877</v>
      </c>
      <c r="B88" s="33" t="s">
        <v>15</v>
      </c>
      <c r="C88" s="27">
        <v>5</v>
      </c>
      <c r="D88" s="21">
        <f>SUM(C3:C88)</f>
        <v>-1232.97</v>
      </c>
      <c r="E88" s="28" t="s">
        <v>70</v>
      </c>
    </row>
    <row r="89" spans="1:5">
      <c r="A89" s="25">
        <v>45878</v>
      </c>
      <c r="B89" s="33" t="s">
        <v>37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15</v>
      </c>
      <c r="C90" s="27">
        <v>26</v>
      </c>
      <c r="D90" s="21">
        <f>SUM(C3:C90)</f>
        <v>-1206.96</v>
      </c>
      <c r="E90" s="34" t="s">
        <v>99</v>
      </c>
    </row>
    <row r="91" spans="1:5">
      <c r="A91" s="25">
        <v>45881</v>
      </c>
      <c r="B91" s="33" t="s">
        <v>13</v>
      </c>
      <c r="C91" s="27">
        <v>5</v>
      </c>
      <c r="D91" s="21">
        <f>SUM(C3:C91)</f>
        <v>-1201.96</v>
      </c>
      <c r="E91" s="34" t="s">
        <v>70</v>
      </c>
    </row>
    <row r="92" spans="1:5">
      <c r="A92" s="17">
        <v>45885</v>
      </c>
      <c r="B92" s="33" t="s">
        <v>88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73</v>
      </c>
      <c r="C93" s="27">
        <v>6</v>
      </c>
      <c r="D93" s="30"/>
      <c r="E93" s="34"/>
    </row>
    <row r="94" spans="1:5">
      <c r="A94" s="17"/>
      <c r="B94" s="33" t="s">
        <v>61</v>
      </c>
      <c r="C94" s="27">
        <v>4</v>
      </c>
      <c r="D94" s="30"/>
      <c r="E94" s="34"/>
    </row>
    <row r="95" spans="1:5">
      <c r="A95" s="25">
        <v>45886</v>
      </c>
      <c r="B95" s="33" t="s">
        <v>13</v>
      </c>
      <c r="C95" s="27">
        <v>5</v>
      </c>
      <c r="D95" s="21">
        <f>SUM(C3:C95)</f>
        <v>-1186.46</v>
      </c>
      <c r="E95" s="34" t="s">
        <v>70</v>
      </c>
    </row>
    <row r="96" spans="1:5">
      <c r="A96" s="25">
        <v>45894</v>
      </c>
      <c r="B96" s="33" t="s">
        <v>37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60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37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36</v>
      </c>
      <c r="C99" s="27">
        <v>2</v>
      </c>
      <c r="D99" s="30"/>
      <c r="E99" s="34"/>
    </row>
    <row r="100" spans="1:5">
      <c r="A100" s="31"/>
      <c r="B100" s="33" t="s">
        <v>74</v>
      </c>
      <c r="C100" s="27">
        <v>2</v>
      </c>
      <c r="D100" s="30"/>
      <c r="E100" s="34"/>
    </row>
    <row r="101" spans="1:5">
      <c r="A101" s="31"/>
      <c r="B101" s="33" t="s">
        <v>30</v>
      </c>
      <c r="C101" s="27">
        <v>2</v>
      </c>
      <c r="D101" s="30"/>
      <c r="E101" s="34"/>
    </row>
    <row r="102" spans="1:5">
      <c r="A102" s="31"/>
      <c r="B102" s="33" t="s">
        <v>81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100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70</v>
      </c>
    </row>
    <row r="105" spans="1:5">
      <c r="A105" s="25">
        <v>45925</v>
      </c>
      <c r="B105" s="33" t="s">
        <v>30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40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30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74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36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17</v>
      </c>
      <c r="C110" s="27">
        <v>60</v>
      </c>
      <c r="D110" s="21">
        <f>SUM(C3:C110)</f>
        <v>-1202.68</v>
      </c>
      <c r="E110" s="34" t="s">
        <v>101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30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17</v>
      </c>
      <c r="C113" s="27">
        <v>60</v>
      </c>
      <c r="D113" s="21">
        <f>SUM(C3:C113)</f>
        <v>-1131.68</v>
      </c>
      <c r="E113" s="34" t="s">
        <v>102</v>
      </c>
    </row>
    <row r="114" spans="1:5">
      <c r="A114" s="25">
        <v>45975</v>
      </c>
      <c r="B114" s="33" t="s">
        <v>15</v>
      </c>
      <c r="C114" s="27">
        <v>37</v>
      </c>
      <c r="D114" s="21">
        <f>SUM(C3:C114)</f>
        <v>-1094.68</v>
      </c>
      <c r="E114" s="34" t="s">
        <v>103</v>
      </c>
    </row>
    <row r="115" spans="1:5">
      <c r="A115" s="25">
        <v>45976</v>
      </c>
      <c r="B115" s="33" t="s">
        <v>78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17</v>
      </c>
      <c r="C116" s="27">
        <v>20</v>
      </c>
      <c r="D116" s="21">
        <f>SUM(C3:C116)</f>
        <v>-1072.18</v>
      </c>
      <c r="E116" s="34" t="s">
        <v>104</v>
      </c>
    </row>
    <row r="117" spans="1:5">
      <c r="A117" s="25">
        <v>45990</v>
      </c>
      <c r="B117" s="33" t="s">
        <v>37</v>
      </c>
      <c r="C117" s="27">
        <v>1</v>
      </c>
      <c r="D117" s="21">
        <f>SUM(C3:C117)</f>
        <v>-1071.18</v>
      </c>
      <c r="E117" s="34" t="s">
        <v>105</v>
      </c>
    </row>
    <row r="118" spans="1:5">
      <c r="A118" s="25">
        <v>46012</v>
      </c>
      <c r="B118" s="33" t="s">
        <v>17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30</v>
      </c>
      <c r="C119" s="27">
        <v>16</v>
      </c>
      <c r="D119" s="21">
        <f>SUM(C3:C119)</f>
        <v>-1045.18</v>
      </c>
      <c r="E119" s="34" t="s">
        <v>106</v>
      </c>
    </row>
    <row r="120" spans="1:5">
      <c r="A120" s="25">
        <v>46031</v>
      </c>
      <c r="B120" s="33" t="s">
        <v>37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25</v>
      </c>
      <c r="C121" s="27">
        <v>66</v>
      </c>
      <c r="D121" s="21">
        <f>SUM(C3:C121)</f>
        <v>-977.18</v>
      </c>
      <c r="E121" s="34" t="s">
        <v>107</v>
      </c>
    </row>
    <row r="122" spans="1:5">
      <c r="A122" s="25">
        <v>46039</v>
      </c>
      <c r="B122" s="33" t="s">
        <v>37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25</v>
      </c>
      <c r="C123" s="27">
        <v>7</v>
      </c>
      <c r="D123" s="21">
        <f>SUM(C3:C123)</f>
        <v>-969.18</v>
      </c>
      <c r="E123" s="34" t="s">
        <v>108</v>
      </c>
    </row>
    <row r="124" spans="1:5">
      <c r="A124" s="31"/>
      <c r="B124" s="33" t="s">
        <v>30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13</v>
      </c>
      <c r="C125" s="27">
        <v>5</v>
      </c>
      <c r="D125" s="21">
        <f>SUM(C3:C125)</f>
        <v>-953.18</v>
      </c>
      <c r="E125" s="34" t="s">
        <v>70</v>
      </c>
    </row>
    <row r="126" spans="1:5">
      <c r="A126" s="25">
        <v>46055</v>
      </c>
      <c r="B126" s="33" t="s">
        <v>25</v>
      </c>
      <c r="C126" s="27">
        <v>36</v>
      </c>
      <c r="D126" s="21">
        <f>SUM(C3:C126)</f>
        <v>-917.18</v>
      </c>
      <c r="E126" s="34" t="s">
        <v>109</v>
      </c>
    </row>
    <row r="127" spans="1:5">
      <c r="A127" s="25">
        <v>46057</v>
      </c>
      <c r="B127" s="33" t="s">
        <v>13</v>
      </c>
      <c r="C127" s="27">
        <v>5</v>
      </c>
      <c r="D127" s="21">
        <f>SUM(C3:C127)</f>
        <v>-912.18</v>
      </c>
      <c r="E127" s="34" t="s">
        <v>70</v>
      </c>
    </row>
    <row r="128" spans="1:5">
      <c r="A128" s="35">
        <v>46068</v>
      </c>
      <c r="B128" s="33" t="s">
        <v>25</v>
      </c>
      <c r="C128" s="27">
        <v>78</v>
      </c>
      <c r="D128" s="21">
        <f>SUM(C3:C128)</f>
        <v>-834.18</v>
      </c>
      <c r="E128" s="34" t="s">
        <v>110</v>
      </c>
    </row>
    <row r="129" spans="1:5">
      <c r="A129" s="36"/>
      <c r="B129" s="33" t="s">
        <v>17</v>
      </c>
      <c r="C129" s="27">
        <v>30</v>
      </c>
      <c r="D129" s="21">
        <f>SUM(C3:C129)</f>
        <v>-804.18</v>
      </c>
      <c r="E129" s="34" t="s">
        <v>111</v>
      </c>
    </row>
    <row r="130" spans="1:5">
      <c r="A130" s="25">
        <v>46069</v>
      </c>
      <c r="B130" s="33" t="s">
        <v>36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25</v>
      </c>
      <c r="C131" s="27">
        <v>8</v>
      </c>
      <c r="D131" s="21">
        <f>SUM(C3:C131)</f>
        <v>-791.18</v>
      </c>
      <c r="E131" s="34" t="s">
        <v>82</v>
      </c>
    </row>
    <row r="132" spans="1:5">
      <c r="A132" s="31"/>
      <c r="B132" s="33" t="s">
        <v>52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28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17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44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13</v>
      </c>
      <c r="C136" s="27">
        <v>25</v>
      </c>
      <c r="D136" s="21">
        <f>SUM(C3:C136)</f>
        <v>-736.36</v>
      </c>
      <c r="E136" s="34" t="s">
        <v>70</v>
      </c>
    </row>
    <row r="137" spans="1:5">
      <c r="A137" s="25">
        <v>46085</v>
      </c>
      <c r="B137" s="33" t="s">
        <v>36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13</v>
      </c>
      <c r="C138" s="27">
        <v>70</v>
      </c>
      <c r="D138" s="21">
        <f>SUM(C3:C138)</f>
        <v>-656.36</v>
      </c>
      <c r="E138" s="34" t="s">
        <v>112</v>
      </c>
    </row>
    <row r="139" spans="1:5">
      <c r="A139" s="25">
        <v>46130</v>
      </c>
      <c r="B139" s="33" t="s">
        <v>44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113</v>
      </c>
    </row>
    <row r="141" spans="1:5">
      <c r="A141" s="25">
        <v>46136</v>
      </c>
      <c r="B141" s="33" t="s">
        <v>13</v>
      </c>
      <c r="C141" s="27">
        <v>15</v>
      </c>
      <c r="D141" s="21">
        <f>SUM(C3:C141)</f>
        <v>-3136.15</v>
      </c>
      <c r="E141" s="34" t="s">
        <v>70</v>
      </c>
    </row>
    <row r="142" spans="1:5">
      <c r="A142" s="25">
        <v>46141</v>
      </c>
      <c r="B142" s="33" t="s">
        <v>17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28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36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53</v>
      </c>
      <c r="C145" s="27">
        <v>10</v>
      </c>
      <c r="D145" s="21">
        <f>SUM(C3:C145)</f>
        <v>-3105.15</v>
      </c>
      <c r="E145" s="34" t="s">
        <v>114</v>
      </c>
    </row>
    <row r="146" spans="1:5">
      <c r="A146" s="31"/>
      <c r="B146" s="33" t="s">
        <v>44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28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13</v>
      </c>
      <c r="C148" s="27">
        <v>20</v>
      </c>
      <c r="D148" s="21">
        <f>SUM(C3:C148)</f>
        <v>-3059.15</v>
      </c>
      <c r="E148" s="34" t="s">
        <v>70</v>
      </c>
    </row>
    <row r="149" spans="1:5">
      <c r="A149" s="25">
        <v>46160</v>
      </c>
      <c r="B149" s="33" t="s">
        <v>65</v>
      </c>
      <c r="C149" s="27">
        <v>5.04</v>
      </c>
      <c r="D149" s="21">
        <f>SUM(C3:C149)</f>
        <v>-3054.11</v>
      </c>
      <c r="E149" s="34"/>
    </row>
    <row r="150" spans="1:5">
      <c r="A150" s="25">
        <v>46179</v>
      </c>
      <c r="B150" s="33" t="s">
        <v>13</v>
      </c>
      <c r="C150" s="27">
        <v>30</v>
      </c>
      <c r="D150" s="21">
        <f>SUM(C3:C150)</f>
        <v>-3024.11</v>
      </c>
      <c r="E150" s="34" t="s">
        <v>70</v>
      </c>
    </row>
    <row r="151" spans="1:5">
      <c r="A151" s="25">
        <v>46184</v>
      </c>
      <c r="B151" s="33" t="s">
        <v>17</v>
      </c>
      <c r="C151" s="27">
        <v>10</v>
      </c>
      <c r="D151" s="21">
        <f>SUM(C3:C151)</f>
        <v>-3014.11</v>
      </c>
      <c r="E151" s="34"/>
    </row>
    <row r="152" spans="1:5">
      <c r="A152" s="25">
        <v>46192</v>
      </c>
      <c r="B152" s="33" t="s">
        <v>13</v>
      </c>
      <c r="C152" s="27">
        <v>20</v>
      </c>
      <c r="D152" s="21">
        <f>SUM(C3:C152)</f>
        <v>-2994.11</v>
      </c>
      <c r="E152" s="34" t="s">
        <v>70</v>
      </c>
    </row>
    <row r="153" spans="1:5">
      <c r="A153" s="25">
        <v>46193</v>
      </c>
      <c r="B153" s="33" t="s">
        <v>17</v>
      </c>
      <c r="C153" s="27">
        <v>50</v>
      </c>
      <c r="D153" s="21">
        <f>SUM(C3:C153)</f>
        <v>-2944.11</v>
      </c>
      <c r="E153" s="34"/>
    </row>
    <row r="154" spans="1:5">
      <c r="A154" s="31"/>
      <c r="B154" s="33" t="s">
        <v>13</v>
      </c>
      <c r="C154" s="27">
        <v>10</v>
      </c>
      <c r="D154" s="21">
        <f>SUM(C3:C154)</f>
        <v>-2934.11</v>
      </c>
      <c r="E154" s="34" t="s">
        <v>70</v>
      </c>
    </row>
    <row r="155" spans="1:5">
      <c r="A155" s="25">
        <v>46196</v>
      </c>
      <c r="B155" s="33" t="s">
        <v>28</v>
      </c>
      <c r="C155" s="27">
        <v>25</v>
      </c>
      <c r="D155" s="21">
        <f>SUM(C3:C155)</f>
        <v>-2909.11</v>
      </c>
      <c r="E155" s="34" t="s">
        <v>109</v>
      </c>
    </row>
    <row r="156" spans="1:5">
      <c r="A156" s="25">
        <v>46204</v>
      </c>
      <c r="B156" s="33" t="s">
        <v>13</v>
      </c>
      <c r="C156" s="27">
        <v>20</v>
      </c>
      <c r="D156" s="21">
        <f>SUM(C3:C156)</f>
        <v>-2889.11</v>
      </c>
      <c r="E156" s="34" t="s">
        <v>70</v>
      </c>
    </row>
    <row r="157" spans="1:5">
      <c r="A157" s="37">
        <v>46205</v>
      </c>
      <c r="B157" s="33" t="s">
        <v>57</v>
      </c>
      <c r="C157" s="27">
        <v>8</v>
      </c>
      <c r="D157" s="21">
        <f>SUM(C3:C157)</f>
        <v>-2881.11</v>
      </c>
      <c r="E157" s="34" t="s">
        <v>115</v>
      </c>
    </row>
    <row r="158" spans="1:5">
      <c r="A158" s="38"/>
      <c r="B158" s="33" t="s">
        <v>17</v>
      </c>
      <c r="C158" s="27">
        <v>240</v>
      </c>
      <c r="D158" s="21">
        <f>SUM(C3:C158)</f>
        <v>-2641.11</v>
      </c>
      <c r="E158" s="34"/>
    </row>
    <row r="159" spans="1:5">
      <c r="A159" s="38"/>
      <c r="B159" s="33" t="s">
        <v>13</v>
      </c>
      <c r="C159" s="27">
        <v>10</v>
      </c>
      <c r="D159" s="21">
        <f>SUM(C3:C159)</f>
        <v>-2631.11</v>
      </c>
      <c r="E159" s="34" t="s">
        <v>70</v>
      </c>
    </row>
    <row r="160" spans="1:5">
      <c r="A160" s="39"/>
      <c r="B160" s="40"/>
      <c r="C160" s="41"/>
      <c r="D160" s="42"/>
      <c r="E160" s="43"/>
    </row>
    <row r="161" ht="14.25" spans="1:5">
      <c r="A161" s="44"/>
      <c r="B161" s="45"/>
      <c r="C161" s="46"/>
      <c r="D161" s="46"/>
      <c r="E161" s="47"/>
    </row>
    <row r="162" spans="1:5">
      <c r="A162" s="48" t="s">
        <v>116</v>
      </c>
      <c r="B162" s="48"/>
      <c r="C162" s="48"/>
      <c r="D162" s="48"/>
      <c r="E162" s="48"/>
    </row>
  </sheetData>
  <mergeCells count="42">
    <mergeCell ref="A1:E1"/>
    <mergeCell ref="G1:K1"/>
    <mergeCell ref="A162:E162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A153:A154"/>
    <mergeCell ref="A157:A159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{fdb89135-96d0-4f2f-9a6c-3e2ec41f4a60}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{bcd5dc8c-26ec-48a2-b776-00b967d598b3}</x14:id>
        </ext>
      </extLst>
    </cfRule>
  </conditionalFormatting>
  <conditionalFormatting sqref="D1:D18 D20:D23 D25:D26 D28:D42 D44:D45 D47:D48 D50:D51 D53 D55 D57:D60 D62:D64 D66:D73 D75:D92 D95:D98 D103:D161 D163:D104857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{9b4235c6-7175-4c6c-b217-9ca1a9e6fe14}</x14:id>
        </ext>
      </extLst>
    </cfRule>
  </conditionalFormatting>
  <conditionalFormatting sqref="I1:I26 I28:I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{c1f121e4-54fa-4a57-9007-c0138f1d5bde}</x14:id>
        </ext>
      </extLst>
    </cfRule>
  </conditionalFormatting>
  <conditionalFormatting sqref="I1:I24 I26 I28:I1048576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{55df90ec-b513-4b8c-a9f3-27fdd63d9921}</x14:id>
        </ext>
      </extLst>
    </cfRule>
  </conditionalFormatting>
  <conditionalFormatting sqref="I1:I18 I26 I28:I1048576 I20:I24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{2dc85a85-b96a-4a8f-8388-9ae38d0773e9}</x14:id>
        </ext>
      </extLst>
    </cfRule>
  </conditionalFormatting>
  <conditionalFormatting sqref="I1:I9 I28:I1048576 I26 I20:I24 I11:I18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{f3c03a1d-6bbe-4f2b-a135-c5cc367df31f}</x14:id>
        </ext>
      </extLst>
    </cfRule>
  </conditionalFormatting>
  <conditionalFormatting sqref="I1:I9 I28:I1048576 I26 I20:I23 I11:I18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{6205d76f-1026-4c38-910f-8d022127e333}</x14:id>
        </ext>
      </extLst>
    </cfRule>
  </conditionalFormatting>
  <conditionalFormatting sqref="I2 I52:I1048576 I31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{e3aa1032-bf69-45ce-b0dd-5aee01468238}</x14:id>
        </ext>
      </extLst>
    </cfRule>
  </conditionalFormatting>
  <conditionalFormatting sqref="I2:I4 I28:I38 I26 I11:I18 I9 I6:I7 I40:I1048576 I20:I23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{eee5d117-610d-4a45-bf13-8a21e9f7c383}</x14:id>
        </ext>
      </extLst>
    </cfRule>
  </conditionalFormatting>
  <conditionalFormatting sqref="I2:I4 I28:I38 I9 I26 I6:I7 I11:I16 I40:I1048576 I18 I20:I23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{6a4af19f-0423-4a62-b0f7-6763a34f461e}</x14:id>
        </ext>
      </extLst>
    </cfRule>
  </conditionalFormatting>
  <conditionalFormatting sqref="D3 D10:D18 D20:D23 D25:D26 D28:D3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6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2:I14 I3:I4 I50:I51 I6:I7 I18 I9 I20:I23 I26 I37:I38 I29 I32:I34 I40:I41 I43:I48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{13ada5db-e343-44d5-b878-59ed8a8079d0}</x14:id>
        </ext>
      </extLst>
    </cfRule>
  </conditionalFormatting>
  <conditionalFormatting sqref="I18 I3:I4 I50:I51 I6:I7 I12:I14 I9 I20:I23 I37:I38 I29 I32:I34 I40:I41 I43:I48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{211f3150-2e75-4d46-9ef6-67fd18d661f2}</x14:id>
        </ext>
      </extLst>
    </cfRule>
  </conditionalFormatting>
  <conditionalFormatting sqref="I16 I3:I4 I43:I48 I6:I7 I12:I14 I9 I20:I23 I26 I18 I50:I51 I29 I32:I34 I37:I38 I40:I41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{c64c8938-0d27-4fa9-8ab6-3f3b466e47b3}</x14:id>
        </ext>
      </extLst>
    </cfRule>
  </conditionalFormatting>
  <conditionalFormatting sqref="I11:I14 I3:I4 I37:I38 I6:I7 I20:I23 I9 I16 I26 I18 I40:I41 I29:I30 I43:I51 I32:I35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{a3126a1f-66d0-49fe-ba1a-8e75bcbd8a30}</x14:id>
        </ext>
      </extLst>
    </cfRule>
  </conditionalFormatting>
  <conditionalFormatting sqref="I20:I23 I3:I4 I29:I30 I6:I7 I16 I9 I11:I14 I26 I18 I50:I51 I32:I34 I37:I38 I40:I41 I43:I48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{60aa269e-0902-4405-ba1c-84e3a985323d}</x14:id>
        </ext>
      </extLst>
    </cfRule>
  </conditionalFormatting>
  <conditionalFormatting sqref="I18 I20:I23 I3:I4 I40:I51 I6:I7 I26 I9 I11:I16 I28:I30 I32:I38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{fb7ba5d0-3108-4a3c-bf13-de30a93af1ae}</x14:id>
        </ext>
      </extLst>
    </cfRule>
  </conditionalFormatting>
  <conditionalFormatting sqref="I11:I16 I3:I4 I32:I38 I6:I7 I20:I23 I9 I18 I26 I40:I51 I29:I30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{6671f810-8b2c-4f90-8291-325c15a4c283}</x14:id>
        </ext>
      </extLst>
    </cfRule>
  </conditionalFormatting>
  <conditionalFormatting sqref="I11:I18 I3:I4 I40:I51 I6:I7 I20:I23 I9 I26 I32:I38 I28:I30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{4f0f8d9c-2a05-47db-a5ea-ff2608562442}</x14:id>
        </ext>
      </extLst>
    </cfRule>
  </conditionalFormatting>
  <conditionalFormatting sqref="I11:I18 I3:I7 I28:I30 I32:I51 I26 I20:I23 I9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{67d8acd6-0ad0-4d41-8e96-04ec4cbc4a00}</x14:id>
        </ext>
      </extLst>
    </cfRule>
  </conditionalFormatting>
  <conditionalFormatting sqref="I26 I20:I23 I3:I7 I32:I38 I40:I51 I11:I18 I9 I28:I30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{a51aba8d-4551-4e72-925a-7df83b76002e}</x14:id>
        </ext>
      </extLst>
    </cfRule>
  </conditionalFormatting>
  <conditionalFormatting sqref="I26 I3:I24 I32:I51 I28:I30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{3320de92-7744-4bc7-9957-d48f81e24f6d}</x14:id>
        </ext>
      </extLst>
    </cfRule>
  </conditionalFormatting>
  <pageMargins left="0.75" right="0.75" top="1" bottom="1" header="0.5" footer="0.5"/>
  <headerFooter/>
  <ignoredErrors>
    <ignoredError sqref="D3 D8:D108 E32:E49 E8:E3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db89135-96d0-4f2f-9a6c-3e2ec41f4a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bcd5dc8c-26ec-48a2-b776-00b967d598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9b4235c6-7175-4c6c-b217-9ca1a9e6fe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c1f121e4-54fa-4a57-9007-c0138f1d5b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I1:I26 I28:I1048576</xm:sqref>
        </x14:conditionalFormatting>
        <x14:conditionalFormatting xmlns:xm="http://schemas.microsoft.com/office/excel/2006/main">
          <x14:cfRule type="dataBar" id="{55df90ec-b513-4b8c-a9f3-27fdd63d99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 I28:I1048576</xm:sqref>
        </x14:conditionalFormatting>
        <x14:conditionalFormatting xmlns:xm="http://schemas.microsoft.com/office/excel/2006/main">
          <x14:cfRule type="dataBar" id="{2dc85a85-b96a-4a8f-8388-9ae38d0773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I26 I28:I1048576 I20:I24</xm:sqref>
        </x14:conditionalFormatting>
        <x14:conditionalFormatting xmlns:xm="http://schemas.microsoft.com/office/excel/2006/main">
          <x14:cfRule type="dataBar" id="{f3c03a1d-6bbe-4f2b-a135-c5cc367df3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I28:I1048576 I26 I20:I24 I11:I18</xm:sqref>
        </x14:conditionalFormatting>
        <x14:conditionalFormatting xmlns:xm="http://schemas.microsoft.com/office/excel/2006/main">
          <x14:cfRule type="dataBar" id="{6205d76f-1026-4c38-910f-8d022127e3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I28:I1048576 I26 I20:I23 I11:I18</xm:sqref>
        </x14:conditionalFormatting>
        <x14:conditionalFormatting xmlns:xm="http://schemas.microsoft.com/office/excel/2006/main">
          <x14:cfRule type="dataBar" id="{e3aa1032-bf69-45ce-b0dd-5aee014682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I52:I1048576 I31</xm:sqref>
        </x14:conditionalFormatting>
        <x14:conditionalFormatting xmlns:xm="http://schemas.microsoft.com/office/excel/2006/main">
          <x14:cfRule type="dataBar" id="{eee5d117-610d-4a45-bf13-8a21e9f7c3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I2:I4 I28:I38 I26 I11:I18 I9 I6:I7 I40:I1048576 I20:I23</xm:sqref>
        </x14:conditionalFormatting>
        <x14:conditionalFormatting xmlns:xm="http://schemas.microsoft.com/office/excel/2006/main">
          <x14:cfRule type="dataBar" id="{6a4af19f-0423-4a62-b0f7-6763a34f46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I2:I4 I28:I38 I9 I26 I6:I7 I11:I16 I40:I1048576 I18 I20:I23</xm:sqref>
        </x14:conditionalFormatting>
        <x14:conditionalFormatting xmlns:xm="http://schemas.microsoft.com/office/excel/2006/main">
          <x14:cfRule type="dataBar" id="{13ada5db-e343-44d5-b878-59ed8a8079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I12:I14 I3:I4 I50:I51 I6:I7 I18 I9 I20:I23 I26 I37:I38 I29 I32:I34 I40:I41 I43:I48</xm:sqref>
        </x14:conditionalFormatting>
        <x14:conditionalFormatting xmlns:xm="http://schemas.microsoft.com/office/excel/2006/main">
          <x14:cfRule type="dataBar" id="{211f3150-2e75-4d46-9ef6-67fd18d661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 I3:I4 I50:I51 I6:I7 I12:I14 I9 I20:I23 I37:I38 I29 I32:I34 I40:I41 I43:I48</xm:sqref>
        </x14:conditionalFormatting>
        <x14:conditionalFormatting xmlns:xm="http://schemas.microsoft.com/office/excel/2006/main">
          <x14:cfRule type="dataBar" id="{c64c8938-0d27-4fa9-8ab6-3f3b466e47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I16 I3:I4 I43:I48 I6:I7 I12:I14 I9 I20:I23 I26 I18 I50:I51 I29 I32:I34 I37:I38 I40:I41</xm:sqref>
        </x14:conditionalFormatting>
        <x14:conditionalFormatting xmlns:xm="http://schemas.microsoft.com/office/excel/2006/main">
          <x14:cfRule type="dataBar" id="{a3126a1f-66d0-49fe-ba1a-8e75bcbd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I11:I14 I3:I4 I37:I38 I6:I7 I20:I23 I9 I16 I26 I18 I40:I41 I29:I30 I43:I51 I32:I35</xm:sqref>
        </x14:conditionalFormatting>
        <x14:conditionalFormatting xmlns:xm="http://schemas.microsoft.com/office/excel/2006/main">
          <x14:cfRule type="dataBar" id="{60aa269e-0902-4405-ba1c-84e3a9853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I20:I23 I3:I4 I29:I30 I6:I7 I16 I9 I11:I14 I26 I18 I50:I51 I32:I34 I37:I38 I40:I41 I43:I48</xm:sqref>
        </x14:conditionalFormatting>
        <x14:conditionalFormatting xmlns:xm="http://schemas.microsoft.com/office/excel/2006/main">
          <x14:cfRule type="dataBar" id="{fb7ba5d0-3108-4a3c-bf13-de30a93af1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 I20:I23 I3:I4 I40:I51 I6:I7 I26 I9 I11:I16 I28:I30 I32:I38</xm:sqref>
        </x14:conditionalFormatting>
        <x14:conditionalFormatting xmlns:xm="http://schemas.microsoft.com/office/excel/2006/main">
          <x14:cfRule type="dataBar" id="{6671f810-8b2c-4f90-8291-325c15a4c2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I11:I16 I3:I4 I32:I38 I6:I7 I20:I23 I9 I18 I26 I40:I51 I29:I30</xm:sqref>
        </x14:conditionalFormatting>
        <x14:conditionalFormatting xmlns:xm="http://schemas.microsoft.com/office/excel/2006/main">
          <x14:cfRule type="dataBar" id="{4f0f8d9c-2a05-47db-a5ea-ff260856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I11:I18 I3:I4 I40:I51 I6:I7 I20:I23 I9 I26 I32:I38 I28:I30</xm:sqref>
        </x14:conditionalFormatting>
        <x14:conditionalFormatting xmlns:xm="http://schemas.microsoft.com/office/excel/2006/main">
          <x14:cfRule type="dataBar" id="{67d8acd6-0ad0-4d41-8e96-04ec4cbc4a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I11:I18 I3:I7 I28:I30 I32:I51 I26 I20:I23 I9</xm:sqref>
        </x14:conditionalFormatting>
        <x14:conditionalFormatting xmlns:xm="http://schemas.microsoft.com/office/excel/2006/main">
          <x14:cfRule type="dataBar" id="{a51aba8d-4551-4e72-925a-7df83b7600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 I20:I23 I3:I7 I32:I38 I40:I51 I11:I18 I9 I28:I30</xm:sqref>
        </x14:conditionalFormatting>
        <x14:conditionalFormatting xmlns:xm="http://schemas.microsoft.com/office/excel/2006/main">
          <x14:cfRule type="dataBar" id="{3320de92-7744-4bc7-9957-d48f81e24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 I3:I24 I32:I51 I28:I30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2026-07-02T13:29:51Z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