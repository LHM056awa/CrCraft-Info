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收支与赞助鸣谢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<sst xmlns="http://schemas.openxmlformats.org/spreadsheetml/2006/main" count="309" uniqueCount="84">
  <si>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</si>
  <si>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</si>
  <si>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</si>
  <si>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</si>
  <si>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</si>
  <si>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</si>
  <si>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</si>
  <si>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</si>
  <si>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</si>
  <si>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</si>
  <si>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</si>
  <si>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</si>
  <si>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</si>
  <si>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</si>
  <si>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</si>
  <si>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</si>
  <si>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</si>
  <si>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KIRINIT</t>
  </si>
  <si>
    <t>Mtve</t>
  </si>
  <si>
    <t>qmzp_</t>
  </si>
  <si>
    <t>zkiftie</t>
  </si>
  <si>
    <t>Disha_UUU2</t>
  </si>
  <si>
    <t>_LoveSelf_</t>
  </si>
  <si>
    <t>dog</t>
  </si>
  <si>
    <t>NGZI</t>
  </si>
  <si>
    <t>Guramchik</t>
  </si>
  <si>
    <t>Press_on</t>
  </si>
  <si>
    <t>用于购买内存条</t>
  </si>
  <si>
    <t>partyking1145</t>
  </si>
  <si>
    <t>购买内存条</t>
  </si>
  <si>
    <t>xiaoshenjin233</t>
  </si>
  <si>
    <t>主板、硬盘、机箱</t>
  </si>
  <si>
    <t>rocksuger</t>
  </si>
  <si>
    <t>电费</t>
  </si>
  <si>
    <t>SNHGY</t>
  </si>
  <si>
    <t>Sz05</t>
  </si>
  <si>
    <t>woshixiaoliu_ovo</t>
  </si>
  <si>
    <t>10天群管理员</t>
  </si>
  <si>
    <t>Y37MzZ_TrusT</t>
  </si>
  <si>
    <t>luolizuiniubi</t>
  </si>
  <si>
    <t>↑36</t>
  </si>
  <si>
    <t>匿名玩家</t>
  </si>
  <si>
    <t>cgh</t>
  </si>
  <si>
    <t>↓1</t>
  </si>
  <si>
    <t>srdownb</t>
  </si>
  <si>
    <t>Alhion_WWW</t>
  </si>
  <si>
    <t>Xs1st_</t>
  </si>
  <si>
    <t>darkmoon114514</t>
  </si>
  <si>
    <t>chunfeng</t>
  </si>
  <si>
    <t>KAMI</t>
  </si>
  <si>
    <t>91kk</t>
  </si>
  <si>
    <t>捐樱花映射VIP</t>
  </si>
  <si>
    <t>faxi</t>
  </si>
  <si>
    <t>樱花映射VIP</t>
  </si>
  <si>
    <t>AhLangGe</t>
  </si>
  <si>
    <t>↑27</t>
  </si>
  <si>
    <t>wybhh51811</t>
  </si>
  <si>
    <t>↓2</t>
  </si>
  <si>
    <t>red_chipi</t>
  </si>
  <si>
    <t>Goocheu_fox</t>
  </si>
  <si>
    <t>Cr_Dragon</t>
  </si>
  <si>
    <t>XL12</t>
  </si>
  <si>
    <t>hanfengzunzhe</t>
  </si>
  <si>
    <t>Xiaoyingawa</t>
  </si>
  <si>
    <t>Onion520</t>
  </si>
  <si>
    <t>lhl</t>
  </si>
  <si>
    <t>xhf</t>
  </si>
  <si>
    <t>YuSaMa1145</t>
  </si>
  <si>
    <t>Mo_Xuan_Yu</t>
  </si>
  <si>
    <t>主板、CPU、电源、机械硬盘</t>
  </si>
  <si>
    <t>Damon</t>
  </si>
  <si>
    <t>↑13</t>
  </si>
  <si>
    <t>xiaomin</t>
  </si>
  <si>
    <t>↓3</t>
  </si>
  <si>
    <t>A1TanJZ</t>
  </si>
  <si>
    <t>littlefish1688</t>
  </si>
  <si>
    <t>QSWY_MC</t>
  </si>
  <si>
    <t>遗物</t>
  </si>
  <si>
    <t>CHYunyou</t>
  </si>
  <si>
    <t>映射VIP</t>
  </si>
  <si>
    <t>物品、电费</t>
  </si>
  <si>
    <t>750W影驰白牌80plus电源</t>
  </si>
  <si>
    <t>主板、CPU、机箱、散热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</si>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</sst>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0" fillId="0" borderId="0" xfId="0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31" fontId="0" fillId="0" borderId="13" xfId="0" applyNumberForma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31" fontId="0" fillId="0" borderId="7" xfId="0" applyNumberFormat="1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10" xfId="0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68"/>
  <sheetViews>
    <sheetView tabSelected="1" workbookViewId="0">
      <pane ySplit="2" topLeftCell="A15" activePane="bottomLeft" state="frozen"/>
      <selection/>
      <selection pane="bottomLeft" activeCell="M49" sqref="M49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SUM(C10,C15,C18:C18,C21:C21,C24,C31:C31,C36,C43,C88,C90,C114,C162)</f>
        <v>625.24</v>
      </c>
      <c r="J3" s="3">
        <v>46219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SUM(C44,C49,C51:C51,C53,C58:C58,C60:C60,C63,C66:C66,C68:C68,C70,C72:C72,C77,C91,C95,C125,C127,C136,C138,C141,C148,C150,C152,C154,C156,C159)</f>
        <v>537</v>
      </c>
      <c r="J4" s="3">
        <v>46204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" t="s">
        <v>17</v>
      </c>
      <c r="I5" s="2">
        <f>SUM(C110:C110,C113,C116,C118,C129,C134,C142,C151,C153,C158)</f>
        <v>500</v>
      </c>
      <c r="J5" s="3">
        <v>46205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SUM(C28:C28,C32:C32,C34:C34,C37,C39,C42:C42,C54,C57,C59,C61,C67,C69,C71,C76)</f>
        <v>285.96</v>
      </c>
      <c r="J6" s="3">
        <v>45654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0" t="s">
        <v>21</v>
      </c>
      <c r="I7" s="16">
        <f>SUM(C11,C16,C29,C25,C62,C81:C81)</f>
        <v>239.66</v>
      </c>
      <c r="J7" s="3">
        <v>45829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SUM(C121,C123,C126,C128,C131,C161)</f>
        <v>228</v>
      </c>
      <c r="J8" s="3">
        <v>46210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" t="s">
        <v>26</v>
      </c>
      <c r="I10" s="2">
        <f>SUM(C133,C143,C147,C155,C160)</f>
        <v>68.32</v>
      </c>
      <c r="J10" s="3">
        <v>46206</v>
      </c>
    </row>
    <row r="11" spans="1:11">
      <c r="A11" s="17">
        <v>44781</v>
      </c>
      <c r="B11" s="8" t="s">
        <v>21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28</v>
      </c>
      <c r="I11" s="2">
        <f>SUM(C86,C101,C105,C107,C112,C119,C124)</f>
        <v>52.01</v>
      </c>
      <c r="J11" s="3">
        <v>46047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29</v>
      </c>
      <c r="G12" s="15">
        <v>10</v>
      </c>
      <c r="H12" s="10" t="s">
        <v>22</v>
      </c>
      <c r="I12" s="16">
        <f>SUM(C8:C8,C47,C45,C50:C50)</f>
        <v>49</v>
      </c>
      <c r="J12" s="3">
        <v>45505</v>
      </c>
    </row>
    <row r="13" spans="1:11">
      <c r="A13" s="17">
        <v>44787</v>
      </c>
      <c r="B13" s="8" t="s">
        <v>30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12</v>
      </c>
      <c r="I13" s="16">
        <f>SUM(C3,C20:C20,C38,C104,C111)</f>
        <v>39</v>
      </c>
      <c r="J13" s="3">
        <v>45968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33</v>
      </c>
      <c r="G15" s="15">
        <v>13</v>
      </c>
      <c r="H15" s="10" t="s">
        <v>34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21</v>
      </c>
      <c r="C16" s="13">
        <v>13</v>
      </c>
      <c r="D16" s="14">
        <f>SUM(C3:C16)</f>
        <v>-647.05</v>
      </c>
      <c r="E16" s="9"/>
      <c r="G16" s="15">
        <v>14</v>
      </c>
      <c r="H16" s="10" t="s">
        <v>35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36</v>
      </c>
      <c r="C17" s="13">
        <v>10</v>
      </c>
      <c r="D17" s="20">
        <f>SUM(C3:C17)</f>
        <v>-637.05</v>
      </c>
      <c r="E17" s="9" t="s">
        <v>37</v>
      </c>
      <c r="G17" s="15">
        <v>15</v>
      </c>
      <c r="H17" s="1" t="s">
        <v>38</v>
      </c>
      <c r="I17" s="2">
        <v>15</v>
      </c>
      <c r="J17" s="3">
        <v>45930</v>
      </c>
    </row>
    <row r="18" spans="1:11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/>
      <c r="G18" s="15">
        <v>16</v>
      </c>
      <c r="H18" s="1" t="s">
        <v>39</v>
      </c>
      <c r="I18" s="2">
        <v>12</v>
      </c>
      <c r="J18" s="3">
        <v>46302</v>
      </c>
      <c r="K18" t="s">
        <v>40</v>
      </c>
    </row>
    <row r="19" spans="1:11">
      <c r="A19" s="17"/>
      <c r="B19" s="22" t="s">
        <v>41</v>
      </c>
      <c r="C19" s="13">
        <v>1.32</v>
      </c>
      <c r="D19" s="23"/>
      <c r="E19" s="9"/>
      <c r="G19" s="15">
        <v>17</v>
      </c>
      <c r="H19" s="10" t="s">
        <v>42</v>
      </c>
      <c r="I19" s="16">
        <f>SUM(C40,C64)</f>
        <v>11</v>
      </c>
      <c r="J19" s="3">
        <v>45555</v>
      </c>
      <c r="K19" t="s">
        <v>43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" t="s">
        <v>44</v>
      </c>
      <c r="I20" s="2">
        <f>SUM(C135,C139,C146)</f>
        <v>10.5</v>
      </c>
      <c r="J20" s="3">
        <v>46145</v>
      </c>
      <c r="K20" t="s">
        <v>43</v>
      </c>
    </row>
    <row r="21" spans="1:11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/>
      <c r="G21" s="15">
        <v>19</v>
      </c>
      <c r="H21" s="10" t="s">
        <v>36</v>
      </c>
      <c r="I21" s="16">
        <v>10</v>
      </c>
      <c r="J21" s="3">
        <v>44953</v>
      </c>
      <c r="K21" t="s">
        <v>43</v>
      </c>
    </row>
    <row r="22" spans="1:11">
      <c r="A22" s="17">
        <v>45140</v>
      </c>
      <c r="B22" s="8" t="s">
        <v>45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46</v>
      </c>
      <c r="I22" s="16">
        <v>10</v>
      </c>
      <c r="J22" s="3">
        <v>45234</v>
      </c>
      <c r="K22" t="s">
        <v>43</v>
      </c>
    </row>
    <row r="23" spans="1:11">
      <c r="A23" s="17">
        <v>45141</v>
      </c>
      <c r="B23" s="8" t="s">
        <v>47</v>
      </c>
      <c r="C23" s="13">
        <v>1.01</v>
      </c>
      <c r="D23" s="21">
        <f>SUM(C3:C24)</f>
        <v>-418.61</v>
      </c>
      <c r="E23" s="9"/>
      <c r="G23" s="15">
        <v>21</v>
      </c>
      <c r="H23" s="10" t="s">
        <v>48</v>
      </c>
      <c r="I23" s="16">
        <v>10</v>
      </c>
      <c r="J23" s="3">
        <v>45325</v>
      </c>
      <c r="K23" t="s">
        <v>43</v>
      </c>
    </row>
    <row r="24" spans="1:11">
      <c r="A24" s="17"/>
      <c r="B24" s="8" t="s">
        <v>13</v>
      </c>
      <c r="C24" s="13">
        <v>9</v>
      </c>
      <c r="D24" s="23"/>
      <c r="E24" s="9"/>
      <c r="G24" s="15">
        <v>22</v>
      </c>
      <c r="H24" s="10" t="s">
        <v>49</v>
      </c>
      <c r="I24" s="16">
        <v>10</v>
      </c>
      <c r="J24" s="3">
        <v>45649</v>
      </c>
      <c r="K24" t="s">
        <v>43</v>
      </c>
    </row>
    <row r="25" spans="1:11">
      <c r="A25" s="17">
        <v>45160</v>
      </c>
      <c r="B25" s="8" t="s">
        <v>21</v>
      </c>
      <c r="C25" s="13">
        <v>3</v>
      </c>
      <c r="D25" s="14">
        <f>SUM(C3:C25)</f>
        <v>-415.61</v>
      </c>
      <c r="E25" s="9"/>
      <c r="G25" s="15">
        <v>23</v>
      </c>
      <c r="H25" s="1" t="s">
        <v>50</v>
      </c>
      <c r="I25" s="2">
        <v>10</v>
      </c>
      <c r="J25" s="3">
        <v>46069</v>
      </c>
      <c r="K25" t="s">
        <v>43</v>
      </c>
    </row>
    <row r="26" spans="1:11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51</v>
      </c>
      <c r="G26">
        <v>24</v>
      </c>
      <c r="H26" s="10" t="s">
        <v>52</v>
      </c>
      <c r="I26" s="16">
        <v>10</v>
      </c>
      <c r="J26" s="3">
        <v>46145</v>
      </c>
      <c r="K26" t="s">
        <v>43</v>
      </c>
    </row>
    <row r="27" spans="1:11">
      <c r="A27" s="17"/>
      <c r="B27" s="8"/>
      <c r="C27" s="18">
        <v>-10</v>
      </c>
      <c r="D27" s="23"/>
      <c r="E27" s="9" t="s">
        <v>53</v>
      </c>
      <c r="G27">
        <v>25</v>
      </c>
      <c r="H27" s="24" t="s">
        <v>54</v>
      </c>
      <c r="I27" s="2">
        <v>10</v>
      </c>
      <c r="J27" s="3">
        <v>46306</v>
      </c>
      <c r="K27" t="s">
        <v>55</v>
      </c>
    </row>
    <row r="28" spans="1:11">
      <c r="A28" s="17">
        <v>45249</v>
      </c>
      <c r="B28" s="8" t="s">
        <v>19</v>
      </c>
      <c r="C28" s="13">
        <v>15.5</v>
      </c>
      <c r="D28" s="14">
        <f>SUM(C3:C28)</f>
        <v>-400.11</v>
      </c>
      <c r="E28" s="9"/>
      <c r="G28">
        <v>26</v>
      </c>
      <c r="H28" s="10" t="s">
        <v>56</v>
      </c>
      <c r="I28" s="2">
        <v>8</v>
      </c>
      <c r="J28" s="3">
        <v>45860</v>
      </c>
      <c r="K28" t="s">
        <v>57</v>
      </c>
    </row>
    <row r="29" spans="1:11">
      <c r="A29" s="17">
        <v>45305</v>
      </c>
      <c r="B29" s="8" t="s">
        <v>21</v>
      </c>
      <c r="C29" s="13">
        <v>50</v>
      </c>
      <c r="D29" s="14">
        <f>SUM(C3:C29)</f>
        <v>-350.11</v>
      </c>
      <c r="E29" s="9"/>
      <c r="G29">
        <v>27</v>
      </c>
      <c r="H29" s="10" t="s">
        <v>58</v>
      </c>
      <c r="I29" s="2">
        <v>8</v>
      </c>
      <c r="J29" s="3">
        <v>46205</v>
      </c>
      <c r="K29" t="s">
        <v>57</v>
      </c>
    </row>
    <row r="30" spans="1:11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/>
      <c r="G30">
        <v>28</v>
      </c>
      <c r="H30" s="10" t="s">
        <v>59</v>
      </c>
      <c r="I30" s="2">
        <v>7.33</v>
      </c>
      <c r="J30" s="3">
        <v>45907</v>
      </c>
      <c r="K30" t="s">
        <v>57</v>
      </c>
    </row>
    <row r="31" spans="1:11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/>
      <c r="G31">
        <v>29</v>
      </c>
      <c r="H31" s="10" t="s">
        <v>60</v>
      </c>
      <c r="I31" s="16">
        <f>SUM(C82,C84,C94)</f>
        <v>6.98</v>
      </c>
      <c r="J31" s="3">
        <v>45861</v>
      </c>
      <c r="K31" t="s">
        <v>57</v>
      </c>
    </row>
    <row r="32" spans="1:11">
      <c r="A32" s="17">
        <v>45368</v>
      </c>
      <c r="B32" s="8" t="s">
        <v>19</v>
      </c>
      <c r="C32" s="13">
        <v>33.01</v>
      </c>
      <c r="D32" s="14">
        <f>SUM(C3:C32)</f>
        <v>-239.1</v>
      </c>
      <c r="E32" s="9" t="s">
        <v>33</v>
      </c>
      <c r="G32">
        <v>30</v>
      </c>
      <c r="H32" s="10" t="s">
        <v>61</v>
      </c>
      <c r="I32" s="2">
        <v>6</v>
      </c>
      <c r="J32" s="3">
        <v>45868</v>
      </c>
      <c r="K32" t="s">
        <v>57</v>
      </c>
    </row>
    <row r="33" spans="1:11">
      <c r="A33" s="17">
        <v>45387</v>
      </c>
      <c r="B33" s="8" t="s">
        <v>62</v>
      </c>
      <c r="C33" s="13">
        <v>1.38</v>
      </c>
      <c r="D33" s="14">
        <f>SUM(C3:C33)</f>
        <v>-237.72</v>
      </c>
      <c r="E33" s="9"/>
      <c r="G33">
        <v>31</v>
      </c>
      <c r="H33" s="10" t="s">
        <v>63</v>
      </c>
      <c r="I33" s="2">
        <v>5.04</v>
      </c>
      <c r="J33" s="3">
        <v>46160</v>
      </c>
      <c r="K33" t="s">
        <v>57</v>
      </c>
    </row>
    <row r="34" spans="1:11">
      <c r="A34" s="17">
        <v>45394</v>
      </c>
      <c r="B34" s="8" t="s">
        <v>19</v>
      </c>
      <c r="C34" s="13">
        <v>16</v>
      </c>
      <c r="D34" s="14">
        <f>SUM(C3:C34)</f>
        <v>-221.72</v>
      </c>
      <c r="E34" s="9" t="s">
        <v>33</v>
      </c>
      <c r="G34">
        <v>32</v>
      </c>
      <c r="H34" s="10" t="s">
        <v>30</v>
      </c>
      <c r="I34" s="16">
        <v>5.02</v>
      </c>
      <c r="J34" s="3">
        <v>44787</v>
      </c>
      <c r="K34" t="s">
        <v>57</v>
      </c>
    </row>
    <row r="35" spans="1:11">
      <c r="A35" s="17">
        <v>45396</v>
      </c>
      <c r="B35" s="8" t="s">
        <v>62</v>
      </c>
      <c r="C35" s="13">
        <v>0.8</v>
      </c>
      <c r="D35" s="14">
        <f>SUM(C3:C35)</f>
        <v>-220.92</v>
      </c>
      <c r="E35" s="9"/>
      <c r="G35">
        <v>33</v>
      </c>
      <c r="H35" s="10" t="s">
        <v>64</v>
      </c>
      <c r="I35" s="16">
        <v>5</v>
      </c>
      <c r="J35" s="3">
        <v>45634</v>
      </c>
      <c r="K35" t="s">
        <v>57</v>
      </c>
    </row>
    <row r="36" spans="1:11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65</v>
      </c>
      <c r="I36" s="16">
        <v>4.15</v>
      </c>
      <c r="J36" s="3">
        <v>45707</v>
      </c>
      <c r="K36" t="s">
        <v>57</v>
      </c>
    </row>
    <row r="37" spans="1:11">
      <c r="A37" s="17">
        <v>45403</v>
      </c>
      <c r="B37" s="8" t="s">
        <v>19</v>
      </c>
      <c r="C37" s="13">
        <v>5</v>
      </c>
      <c r="D37" s="14">
        <f>SUM(C3:C37)</f>
        <v>-212.72</v>
      </c>
      <c r="E37" s="9" t="s">
        <v>33</v>
      </c>
      <c r="G37">
        <v>35</v>
      </c>
      <c r="H37" s="10" t="s">
        <v>66</v>
      </c>
      <c r="I37" s="2">
        <v>4</v>
      </c>
      <c r="J37" s="3">
        <v>45885</v>
      </c>
      <c r="K37" t="s">
        <v>57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/>
      <c r="G38" s="15">
        <v>36</v>
      </c>
      <c r="H38" s="1" t="s">
        <v>67</v>
      </c>
      <c r="I38" s="2">
        <f>SUM(C100,C108)</f>
        <v>4</v>
      </c>
      <c r="J38" s="3">
        <v>45934</v>
      </c>
      <c r="K38" t="s">
        <v>57</v>
      </c>
    </row>
    <row r="39" spans="1:11">
      <c r="A39" s="17">
        <v>45417</v>
      </c>
      <c r="B39" s="8" t="s">
        <v>19</v>
      </c>
      <c r="C39" s="13">
        <v>11</v>
      </c>
      <c r="D39" s="14">
        <f>SUM(C3:C39)</f>
        <v>-194.72</v>
      </c>
      <c r="E39" s="9"/>
      <c r="G39" s="15">
        <v>37</v>
      </c>
      <c r="H39" s="10" t="s">
        <v>18</v>
      </c>
      <c r="I39" s="16">
        <v>3</v>
      </c>
      <c r="J39" s="3" t="s">
        <v>11</v>
      </c>
      <c r="K39" t="s">
        <v>57</v>
      </c>
    </row>
    <row r="40" spans="1:11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33</v>
      </c>
      <c r="G40" s="15">
        <v>38</v>
      </c>
      <c r="H40" s="10" t="s">
        <v>68</v>
      </c>
      <c r="I40" s="16">
        <v>3</v>
      </c>
      <c r="J40" s="3">
        <v>45500</v>
      </c>
      <c r="K40" t="s">
        <v>57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69</v>
      </c>
      <c r="G41">
        <v>39</v>
      </c>
      <c r="H41" s="1" t="s">
        <v>70</v>
      </c>
      <c r="I41" s="2">
        <v>2.741</v>
      </c>
      <c r="J41" s="3">
        <v>46305</v>
      </c>
      <c r="K41" t="s">
        <v>71</v>
      </c>
    </row>
    <row r="42" spans="1:11">
      <c r="A42" s="17">
        <v>45494</v>
      </c>
      <c r="B42" s="8" t="s">
        <v>19</v>
      </c>
      <c r="C42" s="13">
        <v>82.45</v>
      </c>
      <c r="D42" s="21">
        <f>SUM(C3:C43)</f>
        <v>-1915.27</v>
      </c>
      <c r="E42" s="9" t="s">
        <v>33</v>
      </c>
      <c r="G42" s="15">
        <v>40</v>
      </c>
      <c r="H42" s="10" t="s">
        <v>72</v>
      </c>
      <c r="I42" s="2">
        <v>2.5</v>
      </c>
      <c r="J42" s="3">
        <v>45976</v>
      </c>
      <c r="K42" t="s">
        <v>73</v>
      </c>
    </row>
    <row r="43" spans="1:11">
      <c r="A43" s="17"/>
      <c r="B43" s="8" t="s">
        <v>13</v>
      </c>
      <c r="C43" s="13">
        <v>2</v>
      </c>
      <c r="D43" s="23"/>
      <c r="E43" s="9"/>
      <c r="G43">
        <v>41</v>
      </c>
      <c r="H43" s="10" t="s">
        <v>62</v>
      </c>
      <c r="I43" s="16">
        <f>SUM(C35,C33:C33)</f>
        <v>2.18</v>
      </c>
      <c r="J43" s="3">
        <v>45396</v>
      </c>
      <c r="K43" t="s">
        <v>73</v>
      </c>
    </row>
    <row r="44" spans="1:11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/>
      <c r="G44">
        <v>42</v>
      </c>
      <c r="H44" s="10" t="s">
        <v>16</v>
      </c>
      <c r="I44" s="16">
        <v>2</v>
      </c>
      <c r="J44" s="3" t="s">
        <v>11</v>
      </c>
      <c r="K44" t="s">
        <v>73</v>
      </c>
    </row>
    <row r="45" spans="1:11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" t="s">
        <v>74</v>
      </c>
      <c r="I45" s="2">
        <v>2</v>
      </c>
      <c r="J45" s="3">
        <v>45907</v>
      </c>
      <c r="K45" t="s">
        <v>73</v>
      </c>
    </row>
    <row r="46" spans="1:11">
      <c r="A46" s="29"/>
      <c r="B46" s="26" t="s">
        <v>32</v>
      </c>
      <c r="C46" s="27">
        <v>3</v>
      </c>
      <c r="D46" s="30"/>
      <c r="E46" s="28"/>
      <c r="G46">
        <v>44</v>
      </c>
      <c r="H46" s="31" t="s">
        <v>41</v>
      </c>
      <c r="I46" s="16">
        <v>1.32</v>
      </c>
      <c r="J46" s="3">
        <v>44958</v>
      </c>
      <c r="K46" t="s">
        <v>73</v>
      </c>
    </row>
    <row r="47" spans="1:11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/>
      <c r="G47">
        <v>45</v>
      </c>
      <c r="H47" s="10" t="s">
        <v>20</v>
      </c>
      <c r="I47" s="16">
        <v>1.28</v>
      </c>
      <c r="J47" s="3" t="s">
        <v>11</v>
      </c>
      <c r="K47" t="s">
        <v>73</v>
      </c>
    </row>
    <row r="48" spans="1:11">
      <c r="A48" s="25">
        <v>45500</v>
      </c>
      <c r="B48" s="26" t="s">
        <v>68</v>
      </c>
      <c r="C48" s="27">
        <v>3</v>
      </c>
      <c r="D48" s="21">
        <f>SUM(C3:C49)</f>
        <v>-1866.27</v>
      </c>
      <c r="E48" s="28"/>
      <c r="G48" s="15">
        <v>46</v>
      </c>
      <c r="H48" s="10" t="s">
        <v>47</v>
      </c>
      <c r="I48" s="16">
        <v>1.01</v>
      </c>
      <c r="J48" s="3">
        <v>45141</v>
      </c>
      <c r="K48" t="s">
        <v>73</v>
      </c>
    </row>
    <row r="49" spans="1:11">
      <c r="A49" s="32"/>
      <c r="B49" s="26" t="s">
        <v>15</v>
      </c>
      <c r="C49" s="27">
        <v>5</v>
      </c>
      <c r="D49" s="30"/>
      <c r="E49" s="28" t="s">
        <v>33</v>
      </c>
      <c r="G49">
        <v>47</v>
      </c>
      <c r="H49" s="10" t="s">
        <v>75</v>
      </c>
      <c r="I49" s="16">
        <v>1</v>
      </c>
      <c r="J49" s="3">
        <v>45794</v>
      </c>
      <c r="K49" t="s">
        <v>73</v>
      </c>
    </row>
    <row r="50" spans="1:11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33</v>
      </c>
      <c r="G50">
        <v>48</v>
      </c>
      <c r="H50" s="10" t="s">
        <v>14</v>
      </c>
      <c r="I50" s="16">
        <v>0.55</v>
      </c>
      <c r="J50" s="3" t="s">
        <v>11</v>
      </c>
      <c r="K50" t="s">
        <v>73</v>
      </c>
    </row>
    <row r="51" spans="1:11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33</v>
      </c>
      <c r="G51">
        <v>49</v>
      </c>
      <c r="H51" s="10" t="s">
        <v>76</v>
      </c>
      <c r="I51" s="16">
        <v>0.5</v>
      </c>
      <c r="J51" s="3">
        <v>45697</v>
      </c>
      <c r="K51" t="s">
        <v>73</v>
      </c>
    </row>
    <row r="52" spans="1:11">
      <c r="A52" s="32"/>
      <c r="B52" s="26" t="s">
        <v>25</v>
      </c>
      <c r="C52" s="27">
        <v>86</v>
      </c>
      <c r="D52" s="30"/>
      <c r="E52" s="28" t="s">
        <v>77</v>
      </c>
      <c r="G52">
        <v>50</v>
      </c>
      <c r="H52" s="10" t="s">
        <v>78</v>
      </c>
      <c r="I52" s="2">
        <v>0.5</v>
      </c>
      <c r="J52" s="3">
        <v>45885</v>
      </c>
      <c r="K52" t="s">
        <v>73</v>
      </c>
    </row>
    <row r="53" spans="1:11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33</v>
      </c>
      <c r="G53">
        <v>51</v>
      </c>
      <c r="H53" s="10" t="s">
        <v>45</v>
      </c>
      <c r="I53" s="16">
        <v>0.11</v>
      </c>
      <c r="J53" s="3">
        <v>45140</v>
      </c>
      <c r="K53" t="s">
        <v>73</v>
      </c>
    </row>
    <row r="54" spans="1:11">
      <c r="A54" s="32"/>
      <c r="B54" s="26" t="s">
        <v>19</v>
      </c>
      <c r="C54" s="27">
        <v>10</v>
      </c>
      <c r="D54" s="30"/>
      <c r="E54" s="28"/>
      <c r="G54">
        <v>52</v>
      </c>
      <c r="H54" s="10" t="s">
        <v>24</v>
      </c>
      <c r="I54" s="16">
        <v>0.1</v>
      </c>
      <c r="J54" s="3">
        <v>44213</v>
      </c>
      <c r="K54" t="s">
        <v>73</v>
      </c>
    </row>
    <row r="55" spans="1:11">
      <c r="A55" s="25">
        <v>45509</v>
      </c>
      <c r="B55" s="26"/>
      <c r="C55" s="33">
        <v>-10</v>
      </c>
      <c r="D55" s="21">
        <f>SUM(C3:C56)</f>
        <v>-1737.27</v>
      </c>
      <c r="E55" s="28" t="s">
        <v>79</v>
      </c>
    </row>
    <row r="56" spans="1:11">
      <c r="A56" s="32"/>
      <c r="B56" s="26" t="s">
        <v>32</v>
      </c>
      <c r="C56" s="27">
        <v>10</v>
      </c>
      <c r="D56" s="30"/>
      <c r="E56" s="28"/>
    </row>
    <row r="57" spans="1:11">
      <c r="A57" s="25">
        <v>45510</v>
      </c>
      <c r="B57" s="26" t="s">
        <v>19</v>
      </c>
      <c r="C57" s="27">
        <v>40</v>
      </c>
      <c r="D57" s="20">
        <f>SUM(C3:C57)</f>
        <v>-1697.27</v>
      </c>
      <c r="E57" s="28"/>
    </row>
    <row r="58" spans="1:11">
      <c r="A58" s="25">
        <v>45525</v>
      </c>
      <c r="B58" s="34" t="s">
        <v>15</v>
      </c>
      <c r="C58" s="27">
        <f>6+5+5+5+6+5+5+5+30</f>
        <v>72</v>
      </c>
      <c r="D58" s="21">
        <f>SUM(C3:C58)</f>
        <v>-1625.27</v>
      </c>
      <c r="E58" s="28" t="s">
        <v>33</v>
      </c>
    </row>
    <row r="59" spans="1:11">
      <c r="A59" s="25">
        <v>45525</v>
      </c>
      <c r="B59" s="34" t="s">
        <v>19</v>
      </c>
      <c r="C59" s="27">
        <v>6</v>
      </c>
      <c r="D59" s="21">
        <f>SUM(C3:C59)</f>
        <v>-1619.27</v>
      </c>
      <c r="E59" s="28"/>
    </row>
    <row r="60" spans="1:11">
      <c r="A60" s="25">
        <v>45549</v>
      </c>
      <c r="B60" s="34" t="s">
        <v>15</v>
      </c>
      <c r="C60" s="27">
        <v>30</v>
      </c>
      <c r="D60" s="21">
        <f>SUM(C3:C61)</f>
        <v>-1569.27</v>
      </c>
      <c r="E60" s="28" t="s">
        <v>33</v>
      </c>
    </row>
    <row r="61" spans="1:11">
      <c r="A61" s="29"/>
      <c r="B61" s="34" t="s">
        <v>19</v>
      </c>
      <c r="C61" s="27">
        <v>20</v>
      </c>
      <c r="D61" s="30"/>
      <c r="E61" s="28"/>
    </row>
    <row r="62" spans="1:11">
      <c r="A62" s="32">
        <v>45551</v>
      </c>
      <c r="B62" s="34" t="s">
        <v>21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4" t="s">
        <v>15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4" t="s">
        <v>42</v>
      </c>
      <c r="C64" s="27">
        <v>6</v>
      </c>
      <c r="D64" s="21">
        <f>SUM(C3:C65)</f>
        <v>-1486.27</v>
      </c>
      <c r="E64" s="28"/>
    </row>
    <row r="65" spans="1:5">
      <c r="A65" s="32"/>
      <c r="B65" s="34" t="s">
        <v>25</v>
      </c>
      <c r="C65" s="27">
        <v>20</v>
      </c>
      <c r="D65" s="30"/>
      <c r="E65" s="28"/>
    </row>
    <row r="66" spans="1:5">
      <c r="A66" s="25">
        <v>45584</v>
      </c>
      <c r="B66" s="34" t="s">
        <v>15</v>
      </c>
      <c r="C66" s="27">
        <v>30</v>
      </c>
      <c r="D66" s="21">
        <f>SUM(C3:C66)</f>
        <v>-1456.27</v>
      </c>
      <c r="E66" s="28" t="s">
        <v>33</v>
      </c>
    </row>
    <row r="67" spans="1:5">
      <c r="A67" s="25">
        <v>45584</v>
      </c>
      <c r="B67" s="34" t="s">
        <v>19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4" t="s">
        <v>15</v>
      </c>
      <c r="C68" s="27">
        <v>60</v>
      </c>
      <c r="D68" s="21">
        <f>SUM(C3:C68)</f>
        <v>-1389.27</v>
      </c>
      <c r="E68" s="28" t="s">
        <v>80</v>
      </c>
    </row>
    <row r="69" spans="1:5">
      <c r="A69" s="25">
        <v>45597</v>
      </c>
      <c r="B69" s="34" t="s">
        <v>19</v>
      </c>
      <c r="C69" s="27">
        <v>5</v>
      </c>
      <c r="D69" s="21">
        <f>SUM(C3:C69)</f>
        <v>-1384.27</v>
      </c>
      <c r="E69" s="28" t="s">
        <v>33</v>
      </c>
    </row>
    <row r="70" spans="1:5">
      <c r="A70" s="25">
        <v>45598</v>
      </c>
      <c r="B70" s="34" t="s">
        <v>15</v>
      </c>
      <c r="C70" s="27">
        <v>5</v>
      </c>
      <c r="D70" s="21">
        <f>SUM(C3:C70)</f>
        <v>-1379.27</v>
      </c>
      <c r="E70" s="28" t="s">
        <v>33</v>
      </c>
    </row>
    <row r="71" spans="1:5">
      <c r="A71" s="25">
        <v>45612</v>
      </c>
      <c r="B71" s="34" t="s">
        <v>19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4" t="s">
        <v>15</v>
      </c>
      <c r="C72" s="27">
        <v>15</v>
      </c>
      <c r="D72" s="21">
        <f>SUM(C3:C72)</f>
        <v>-1359.27</v>
      </c>
      <c r="E72" s="28" t="s">
        <v>33</v>
      </c>
    </row>
    <row r="73" spans="1:5">
      <c r="A73" s="17">
        <v>45634</v>
      </c>
      <c r="B73" s="34" t="s">
        <v>64</v>
      </c>
      <c r="C73" s="27">
        <v>5</v>
      </c>
      <c r="D73" s="21">
        <f>SUM(C3:C74)</f>
        <v>-1344.27</v>
      </c>
      <c r="E73" s="28" t="s">
        <v>33</v>
      </c>
    </row>
    <row r="74" spans="1:5">
      <c r="A74" s="17"/>
      <c r="B74" s="34" t="s">
        <v>32</v>
      </c>
      <c r="C74" s="27">
        <v>10</v>
      </c>
      <c r="D74" s="30"/>
      <c r="E74" s="28"/>
    </row>
    <row r="75" spans="1:5">
      <c r="A75" s="17">
        <v>45649</v>
      </c>
      <c r="B75" s="34" t="s">
        <v>49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4" t="s">
        <v>19</v>
      </c>
      <c r="C76" s="27">
        <v>30</v>
      </c>
      <c r="D76" s="21">
        <f>SUM(C3:C76)</f>
        <v>-1304.27</v>
      </c>
      <c r="E76" s="28"/>
    </row>
    <row r="77" spans="1:5">
      <c r="A77" s="25">
        <v>45686</v>
      </c>
      <c r="B77" s="34" t="s">
        <v>15</v>
      </c>
      <c r="C77" s="27">
        <v>9</v>
      </c>
      <c r="D77" s="21">
        <f>SUM(C3:C77)</f>
        <v>-1295.27</v>
      </c>
      <c r="E77" s="28" t="s">
        <v>33</v>
      </c>
    </row>
    <row r="78" spans="1:5">
      <c r="A78" s="25">
        <v>45697</v>
      </c>
      <c r="B78" s="34" t="s">
        <v>76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4" t="s">
        <v>65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4" t="s">
        <v>75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4" t="s">
        <v>21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4" t="s">
        <v>60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4" t="s">
        <v>56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4" t="s">
        <v>60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4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4" t="s">
        <v>28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4" t="s">
        <v>61</v>
      </c>
      <c r="C87" s="27">
        <v>6</v>
      </c>
      <c r="D87" s="21">
        <f>SUM(C3:C87)</f>
        <v>-1237.97</v>
      </c>
      <c r="E87" s="28"/>
    </row>
    <row r="88" spans="1:5">
      <c r="A88" s="25">
        <v>45877</v>
      </c>
      <c r="B88" s="34" t="s">
        <v>13</v>
      </c>
      <c r="C88" s="27">
        <v>5</v>
      </c>
      <c r="D88" s="21">
        <f>SUM(C3:C88)</f>
        <v>-1232.97</v>
      </c>
      <c r="E88" s="28" t="s">
        <v>33</v>
      </c>
    </row>
    <row r="89" spans="1:5">
      <c r="A89" s="25">
        <v>45878</v>
      </c>
      <c r="B89" s="34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4" t="s">
        <v>13</v>
      </c>
      <c r="C90" s="27">
        <v>26</v>
      </c>
      <c r="D90" s="21">
        <f>SUM(C3:C90)</f>
        <v>-1206.96</v>
      </c>
      <c r="E90" s="35"/>
    </row>
    <row r="91" spans="1:5">
      <c r="A91" s="25">
        <v>45881</v>
      </c>
      <c r="B91" s="34" t="s">
        <v>15</v>
      </c>
      <c r="C91" s="27">
        <v>5</v>
      </c>
      <c r="D91" s="21">
        <f>SUM(C3:C91)</f>
        <v>-1201.96</v>
      </c>
      <c r="E91" s="35" t="s">
        <v>33</v>
      </c>
    </row>
    <row r="92" spans="1:5">
      <c r="A92" s="17">
        <v>45885</v>
      </c>
      <c r="B92" s="34" t="s">
        <v>78</v>
      </c>
      <c r="C92" s="27">
        <v>0.5</v>
      </c>
      <c r="D92" s="21">
        <f>SUM(C3:C94)</f>
        <v>-1191.46</v>
      </c>
      <c r="E92" s="35"/>
    </row>
    <row r="93" spans="1:5">
      <c r="A93" s="17"/>
      <c r="B93" s="34" t="s">
        <v>66</v>
      </c>
      <c r="C93" s="27">
        <v>6</v>
      </c>
      <c r="D93" s="30"/>
      <c r="E93" s="35"/>
    </row>
    <row r="94" spans="1:5">
      <c r="A94" s="17"/>
      <c r="B94" s="34" t="s">
        <v>60</v>
      </c>
      <c r="C94" s="27">
        <v>4</v>
      </c>
      <c r="D94" s="30"/>
      <c r="E94" s="35"/>
    </row>
    <row r="95" spans="1:5">
      <c r="A95" s="25">
        <v>45886</v>
      </c>
      <c r="B95" s="34" t="s">
        <v>15</v>
      </c>
      <c r="C95" s="27">
        <v>5</v>
      </c>
      <c r="D95" s="21">
        <f>SUM(C3:C95)</f>
        <v>-1186.46</v>
      </c>
      <c r="E95" s="35" t="s">
        <v>33</v>
      </c>
    </row>
    <row r="96" spans="1:5">
      <c r="A96" s="25">
        <v>45894</v>
      </c>
      <c r="B96" s="34" t="s">
        <v>35</v>
      </c>
      <c r="C96" s="27">
        <v>1</v>
      </c>
      <c r="D96" s="21">
        <f>SUM(C3:C96)</f>
        <v>-1185.46</v>
      </c>
      <c r="E96" s="35"/>
    </row>
    <row r="97" spans="1:5">
      <c r="A97" s="25">
        <v>45905</v>
      </c>
      <c r="B97" s="34" t="s">
        <v>59</v>
      </c>
      <c r="C97" s="27">
        <v>7.33</v>
      </c>
      <c r="D97" s="21">
        <f>SUM(C3:C97)</f>
        <v>-1178.13</v>
      </c>
      <c r="E97" s="35"/>
    </row>
    <row r="98" spans="1:5">
      <c r="A98" s="25">
        <v>45907</v>
      </c>
      <c r="B98" s="34" t="s">
        <v>35</v>
      </c>
      <c r="C98" s="27">
        <v>2</v>
      </c>
      <c r="D98" s="21">
        <f>SUM(C3:C102)</f>
        <v>-1168.13</v>
      </c>
      <c r="E98" s="35"/>
    </row>
    <row r="99" spans="1:5">
      <c r="A99" s="32"/>
      <c r="B99" s="34" t="s">
        <v>34</v>
      </c>
      <c r="C99" s="27">
        <v>2</v>
      </c>
      <c r="D99" s="30"/>
      <c r="E99" s="35"/>
    </row>
    <row r="100" spans="1:5">
      <c r="A100" s="32"/>
      <c r="B100" s="34" t="s">
        <v>67</v>
      </c>
      <c r="C100" s="27">
        <v>2</v>
      </c>
      <c r="D100" s="30"/>
      <c r="E100" s="35"/>
    </row>
    <row r="101" spans="1:5">
      <c r="A101" s="32"/>
      <c r="B101" s="34" t="s">
        <v>28</v>
      </c>
      <c r="C101" s="27">
        <v>2</v>
      </c>
      <c r="D101" s="30"/>
      <c r="E101" s="35"/>
    </row>
    <row r="102" spans="1:5">
      <c r="A102" s="32"/>
      <c r="B102" s="34" t="s">
        <v>74</v>
      </c>
      <c r="C102" s="27">
        <v>2</v>
      </c>
      <c r="D102" s="30"/>
      <c r="E102" s="35"/>
    </row>
    <row r="103" spans="1:5">
      <c r="A103" s="25">
        <v>45915</v>
      </c>
      <c r="B103" s="34"/>
      <c r="C103" s="33">
        <v>-130</v>
      </c>
      <c r="D103" s="21">
        <f>SUM(C3:C103)</f>
        <v>-1298.13</v>
      </c>
      <c r="E103" s="35" t="s">
        <v>81</v>
      </c>
    </row>
    <row r="104" spans="1:5">
      <c r="A104" s="25">
        <v>45916</v>
      </c>
      <c r="B104" s="34" t="s">
        <v>12</v>
      </c>
      <c r="C104" s="27">
        <v>6</v>
      </c>
      <c r="D104" s="21">
        <f>SUM(C3:C104)</f>
        <v>-1292.13</v>
      </c>
      <c r="E104" s="35" t="s">
        <v>33</v>
      </c>
    </row>
    <row r="105" spans="1:5">
      <c r="A105" s="25">
        <v>45925</v>
      </c>
      <c r="B105" s="34" t="s">
        <v>28</v>
      </c>
      <c r="C105" s="27">
        <v>10</v>
      </c>
      <c r="D105" s="21">
        <f>SUM(C3:C105)</f>
        <v>-1282.13</v>
      </c>
      <c r="E105" s="35"/>
    </row>
    <row r="106" spans="1:5">
      <c r="A106" s="25">
        <v>45930</v>
      </c>
      <c r="B106" s="34" t="s">
        <v>38</v>
      </c>
      <c r="C106" s="27">
        <v>15</v>
      </c>
      <c r="D106" s="21">
        <f>SUM(C3:C106)</f>
        <v>-1267.13</v>
      </c>
      <c r="E106" s="35"/>
    </row>
    <row r="107" spans="1:5">
      <c r="A107" s="25">
        <v>45934</v>
      </c>
      <c r="B107" s="34" t="s">
        <v>28</v>
      </c>
      <c r="C107" s="27">
        <v>2</v>
      </c>
      <c r="D107" s="21">
        <f>SUM(C3:C107)</f>
        <v>-1265.13</v>
      </c>
      <c r="E107" s="35"/>
    </row>
    <row r="108" spans="1:5">
      <c r="A108" s="32"/>
      <c r="B108" s="34" t="s">
        <v>67</v>
      </c>
      <c r="C108" s="27">
        <v>2</v>
      </c>
      <c r="D108" s="21">
        <f>SUM(C3:C108)</f>
        <v>-1263.13</v>
      </c>
      <c r="E108" s="35"/>
    </row>
    <row r="109" spans="1:5">
      <c r="A109" s="32"/>
      <c r="B109" s="34" t="s">
        <v>34</v>
      </c>
      <c r="C109" s="27">
        <v>0.45</v>
      </c>
      <c r="D109" s="21">
        <f>SUM(C3:C109)</f>
        <v>-1262.68</v>
      </c>
      <c r="E109" s="35"/>
    </row>
    <row r="110" spans="1:5">
      <c r="A110" s="25">
        <v>45965</v>
      </c>
      <c r="B110" s="34" t="s">
        <v>17</v>
      </c>
      <c r="C110" s="27">
        <v>60</v>
      </c>
      <c r="D110" s="21">
        <f>SUM(C3:C110)</f>
        <v>-1202.68</v>
      </c>
      <c r="E110" s="35"/>
    </row>
    <row r="111" spans="1:5">
      <c r="A111" s="25">
        <v>45968</v>
      </c>
      <c r="B111" s="34" t="s">
        <v>12</v>
      </c>
      <c r="C111" s="27">
        <v>5</v>
      </c>
      <c r="D111" s="21">
        <f>SUM(C3:C111)</f>
        <v>-1197.68</v>
      </c>
      <c r="E111" s="35"/>
    </row>
    <row r="112" spans="1:5">
      <c r="A112" s="25">
        <v>45969</v>
      </c>
      <c r="B112" s="34" t="s">
        <v>28</v>
      </c>
      <c r="C112" s="27">
        <v>6</v>
      </c>
      <c r="D112" s="21">
        <f>SUM(C3:C112)</f>
        <v>-1191.68</v>
      </c>
      <c r="E112" s="35"/>
    </row>
    <row r="113" spans="1:5">
      <c r="A113" s="25">
        <v>45972</v>
      </c>
      <c r="B113" s="34" t="s">
        <v>17</v>
      </c>
      <c r="C113" s="27">
        <v>60</v>
      </c>
      <c r="D113" s="21">
        <f>SUM(C3:C113)</f>
        <v>-1131.68</v>
      </c>
      <c r="E113" s="35"/>
    </row>
    <row r="114" spans="1:5">
      <c r="A114" s="25">
        <v>45975</v>
      </c>
      <c r="B114" s="34" t="s">
        <v>13</v>
      </c>
      <c r="C114" s="27">
        <v>37</v>
      </c>
      <c r="D114" s="21">
        <f>SUM(C3:C114)</f>
        <v>-1094.68</v>
      </c>
      <c r="E114" s="35"/>
    </row>
    <row r="115" spans="1:5">
      <c r="A115" s="25">
        <v>45976</v>
      </c>
      <c r="B115" s="34" t="s">
        <v>72</v>
      </c>
      <c r="C115" s="27">
        <v>2.5</v>
      </c>
      <c r="D115" s="21">
        <f>SUM(C3:C115)</f>
        <v>-1092.18</v>
      </c>
      <c r="E115" s="35"/>
    </row>
    <row r="116" spans="1:5">
      <c r="A116" s="25">
        <v>45980</v>
      </c>
      <c r="B116" s="34" t="s">
        <v>17</v>
      </c>
      <c r="C116" s="27">
        <v>20</v>
      </c>
      <c r="D116" s="21">
        <f>SUM(C3:C116)</f>
        <v>-1072.18</v>
      </c>
      <c r="E116" s="35"/>
    </row>
    <row r="117" spans="1:5">
      <c r="A117" s="25">
        <v>45990</v>
      </c>
      <c r="B117" s="34" t="s">
        <v>35</v>
      </c>
      <c r="C117" s="27">
        <v>1</v>
      </c>
      <c r="D117" s="21">
        <f>SUM(C3:C117)</f>
        <v>-1071.18</v>
      </c>
      <c r="E117" s="35"/>
    </row>
    <row r="118" spans="1:5">
      <c r="A118" s="25">
        <v>46012</v>
      </c>
      <c r="B118" s="34" t="s">
        <v>17</v>
      </c>
      <c r="C118" s="27">
        <v>10</v>
      </c>
      <c r="D118" s="21">
        <f>SUM(C3:C118)</f>
        <v>-1061.18</v>
      </c>
      <c r="E118" s="35"/>
    </row>
    <row r="119" spans="1:5">
      <c r="A119" s="25">
        <v>46029</v>
      </c>
      <c r="B119" s="34" t="s">
        <v>28</v>
      </c>
      <c r="C119" s="27">
        <v>16</v>
      </c>
      <c r="D119" s="21">
        <f>SUM(C3:C119)</f>
        <v>-1045.18</v>
      </c>
      <c r="E119" s="35"/>
    </row>
    <row r="120" spans="1:5">
      <c r="A120" s="25">
        <v>46031</v>
      </c>
      <c r="B120" s="34" t="s">
        <v>35</v>
      </c>
      <c r="C120" s="27">
        <v>2</v>
      </c>
      <c r="D120" s="21">
        <f>SUM(C3:C120)</f>
        <v>-1043.18</v>
      </c>
      <c r="E120" s="35"/>
    </row>
    <row r="121" spans="1:5">
      <c r="A121" s="25">
        <v>46038</v>
      </c>
      <c r="B121" s="34" t="s">
        <v>23</v>
      </c>
      <c r="C121" s="27">
        <v>66</v>
      </c>
      <c r="D121" s="21">
        <f>SUM(C3:C121)</f>
        <v>-977.18</v>
      </c>
      <c r="E121" s="35"/>
    </row>
    <row r="122" spans="1:5">
      <c r="A122" s="25">
        <v>46039</v>
      </c>
      <c r="B122" s="34" t="s">
        <v>35</v>
      </c>
      <c r="C122" s="27">
        <v>1</v>
      </c>
      <c r="D122" s="21">
        <f>SUM(C3:C122)</f>
        <v>-976.18</v>
      </c>
      <c r="E122" s="35"/>
    </row>
    <row r="123" spans="1:5">
      <c r="A123" s="25">
        <v>46047</v>
      </c>
      <c r="B123" s="34" t="s">
        <v>23</v>
      </c>
      <c r="C123" s="27">
        <v>7</v>
      </c>
      <c r="D123" s="21">
        <f>SUM(C3:C123)</f>
        <v>-969.18</v>
      </c>
      <c r="E123" s="35"/>
    </row>
    <row r="124" spans="1:5">
      <c r="A124" s="32"/>
      <c r="B124" s="34" t="s">
        <v>28</v>
      </c>
      <c r="C124" s="27">
        <v>11</v>
      </c>
      <c r="D124" s="21">
        <f>SUM(C3:C124)</f>
        <v>-958.18</v>
      </c>
      <c r="E124" s="35"/>
    </row>
    <row r="125" spans="1:5">
      <c r="A125" s="25">
        <v>46054</v>
      </c>
      <c r="B125" s="34" t="s">
        <v>15</v>
      </c>
      <c r="C125" s="27">
        <v>5</v>
      </c>
      <c r="D125" s="21">
        <f>SUM(C3:C125)</f>
        <v>-953.18</v>
      </c>
      <c r="E125" s="35" t="s">
        <v>33</v>
      </c>
    </row>
    <row r="126" spans="1:5">
      <c r="A126" s="25">
        <v>46055</v>
      </c>
      <c r="B126" s="34" t="s">
        <v>23</v>
      </c>
      <c r="C126" s="27">
        <v>36</v>
      </c>
      <c r="D126" s="21">
        <f>SUM(C3:C126)</f>
        <v>-917.18</v>
      </c>
      <c r="E126" s="35"/>
    </row>
    <row r="127" spans="1:5">
      <c r="A127" s="25">
        <v>46057</v>
      </c>
      <c r="B127" s="34" t="s">
        <v>15</v>
      </c>
      <c r="C127" s="27">
        <v>5</v>
      </c>
      <c r="D127" s="21">
        <f>SUM(C3:C127)</f>
        <v>-912.18</v>
      </c>
      <c r="E127" s="35" t="s">
        <v>33</v>
      </c>
    </row>
    <row r="128" spans="1:5">
      <c r="A128" s="36">
        <v>46068</v>
      </c>
      <c r="B128" s="34" t="s">
        <v>23</v>
      </c>
      <c r="C128" s="27">
        <v>78</v>
      </c>
      <c r="D128" s="21">
        <f>SUM(C3:C128)</f>
        <v>-834.18</v>
      </c>
      <c r="E128" s="35"/>
    </row>
    <row r="129" spans="1:5">
      <c r="A129" s="37"/>
      <c r="B129" s="34" t="s">
        <v>17</v>
      </c>
      <c r="C129" s="27">
        <v>30</v>
      </c>
      <c r="D129" s="21">
        <f>SUM(C3:C129)</f>
        <v>-804.18</v>
      </c>
      <c r="E129" s="35"/>
    </row>
    <row r="130" spans="1:5">
      <c r="A130" s="25">
        <v>46069</v>
      </c>
      <c r="B130" s="34" t="s">
        <v>34</v>
      </c>
      <c r="C130" s="27">
        <v>5</v>
      </c>
      <c r="D130" s="21">
        <f>SUM(C3:C130)</f>
        <v>-799.18</v>
      </c>
      <c r="E130" s="35"/>
    </row>
    <row r="131" spans="1:5">
      <c r="A131" s="32"/>
      <c r="B131" s="34" t="s">
        <v>23</v>
      </c>
      <c r="C131" s="27">
        <v>8</v>
      </c>
      <c r="D131" s="21">
        <f>SUM(C3:C131)</f>
        <v>-791.18</v>
      </c>
      <c r="E131" s="35"/>
    </row>
    <row r="132" spans="1:5">
      <c r="A132" s="32"/>
      <c r="B132" s="34" t="s">
        <v>50</v>
      </c>
      <c r="C132" s="27">
        <v>10</v>
      </c>
      <c r="D132" s="21">
        <f>SUM(C3:C132)</f>
        <v>-781.18</v>
      </c>
      <c r="E132" s="35"/>
    </row>
    <row r="133" spans="1:5">
      <c r="A133" s="25">
        <v>46070</v>
      </c>
      <c r="B133" s="34" t="s">
        <v>26</v>
      </c>
      <c r="C133" s="27">
        <v>8.32</v>
      </c>
      <c r="D133" s="21">
        <f>SUM(C3:C133)</f>
        <v>-772.86</v>
      </c>
      <c r="E133" s="35"/>
    </row>
    <row r="134" spans="1:5">
      <c r="A134" s="32"/>
      <c r="B134" s="34" t="s">
        <v>17</v>
      </c>
      <c r="C134" s="27">
        <v>10</v>
      </c>
      <c r="D134" s="21">
        <f>SUM(C3:C134)</f>
        <v>-762.86</v>
      </c>
      <c r="E134" s="35"/>
    </row>
    <row r="135" spans="1:5">
      <c r="A135" s="17">
        <v>46074</v>
      </c>
      <c r="B135" s="34" t="s">
        <v>44</v>
      </c>
      <c r="C135" s="27">
        <v>1.5</v>
      </c>
      <c r="D135" s="21">
        <f>SUM(C3:C135)</f>
        <v>-761.36</v>
      </c>
      <c r="E135" s="35"/>
    </row>
    <row r="136" spans="1:5">
      <c r="A136" s="25">
        <v>46079</v>
      </c>
      <c r="B136" s="34" t="s">
        <v>15</v>
      </c>
      <c r="C136" s="27">
        <v>25</v>
      </c>
      <c r="D136" s="21">
        <f>SUM(C3:C136)</f>
        <v>-736.36</v>
      </c>
      <c r="E136" s="35" t="s">
        <v>33</v>
      </c>
    </row>
    <row r="137" spans="1:5">
      <c r="A137" s="25">
        <v>46085</v>
      </c>
      <c r="B137" s="34" t="s">
        <v>34</v>
      </c>
      <c r="C137" s="27">
        <v>10</v>
      </c>
      <c r="D137" s="21">
        <f>SUM(C3:C137)</f>
        <v>-726.36</v>
      </c>
      <c r="E137" s="35"/>
    </row>
    <row r="138" spans="1:5">
      <c r="A138" s="25">
        <v>46123</v>
      </c>
      <c r="B138" s="34" t="s">
        <v>15</v>
      </c>
      <c r="C138" s="27">
        <v>70</v>
      </c>
      <c r="D138" s="21">
        <f>SUM(C3:C138)</f>
        <v>-656.36</v>
      </c>
      <c r="E138" s="35" t="s">
        <v>33</v>
      </c>
    </row>
    <row r="139" spans="1:5">
      <c r="A139" s="25">
        <v>46130</v>
      </c>
      <c r="B139" s="34" t="s">
        <v>44</v>
      </c>
      <c r="C139" s="27">
        <v>3</v>
      </c>
      <c r="D139" s="21">
        <f>SUM(C3:C139)</f>
        <v>-653.36</v>
      </c>
      <c r="E139" s="35"/>
    </row>
    <row r="140" spans="1:5">
      <c r="A140" s="25">
        <v>46135</v>
      </c>
      <c r="B140" s="34"/>
      <c r="C140" s="33">
        <v>-2497.79</v>
      </c>
      <c r="D140" s="21">
        <f>SUM(C3:C140)</f>
        <v>-3151.15</v>
      </c>
      <c r="E140" s="35" t="s">
        <v>82</v>
      </c>
    </row>
    <row r="141" spans="1:5">
      <c r="A141" s="25">
        <v>46136</v>
      </c>
      <c r="B141" s="34" t="s">
        <v>15</v>
      </c>
      <c r="C141" s="27">
        <v>15</v>
      </c>
      <c r="D141" s="21">
        <f>SUM(C3:C141)</f>
        <v>-3136.15</v>
      </c>
      <c r="E141" s="35" t="s">
        <v>33</v>
      </c>
    </row>
    <row r="142" spans="1:5">
      <c r="A142" s="25">
        <v>46141</v>
      </c>
      <c r="B142" s="34" t="s">
        <v>17</v>
      </c>
      <c r="C142" s="27">
        <v>10</v>
      </c>
      <c r="D142" s="21">
        <f>SUM(C3:C142)</f>
        <v>-3126.15</v>
      </c>
      <c r="E142" s="35"/>
    </row>
    <row r="143" spans="1:5">
      <c r="A143" s="32"/>
      <c r="B143" s="34" t="s">
        <v>26</v>
      </c>
      <c r="C143" s="27">
        <v>10</v>
      </c>
      <c r="D143" s="21">
        <f>SUM(C3:C143)</f>
        <v>-3116.15</v>
      </c>
      <c r="E143" s="35"/>
    </row>
    <row r="144" spans="1:5">
      <c r="A144" s="25">
        <v>46144</v>
      </c>
      <c r="B144" s="34" t="s">
        <v>34</v>
      </c>
      <c r="C144" s="27">
        <v>1</v>
      </c>
      <c r="D144" s="21">
        <f>SUM(C3:C144)</f>
        <v>-3115.15</v>
      </c>
      <c r="E144" s="35"/>
    </row>
    <row r="145" spans="1:5">
      <c r="A145" s="25">
        <v>46145</v>
      </c>
      <c r="B145" s="34" t="s">
        <v>52</v>
      </c>
      <c r="C145" s="27">
        <v>10</v>
      </c>
      <c r="D145" s="21">
        <f>SUM(C3:C145)</f>
        <v>-3105.15</v>
      </c>
      <c r="E145" s="35"/>
    </row>
    <row r="146" spans="1:5">
      <c r="A146" s="32"/>
      <c r="B146" s="34" t="s">
        <v>44</v>
      </c>
      <c r="C146" s="27">
        <v>6</v>
      </c>
      <c r="D146" s="21">
        <f>SUM(C3:C146)</f>
        <v>-3099.15</v>
      </c>
      <c r="E146" s="35"/>
    </row>
    <row r="147" spans="1:5">
      <c r="A147" s="25">
        <v>46146</v>
      </c>
      <c r="B147" s="34" t="s">
        <v>26</v>
      </c>
      <c r="C147" s="27">
        <v>20</v>
      </c>
      <c r="D147" s="21">
        <f>SUM(C3:C147)</f>
        <v>-3079.15</v>
      </c>
      <c r="E147" s="35"/>
    </row>
    <row r="148" spans="1:5">
      <c r="A148" s="25">
        <v>46158</v>
      </c>
      <c r="B148" s="34" t="s">
        <v>15</v>
      </c>
      <c r="C148" s="27">
        <v>20</v>
      </c>
      <c r="D148" s="21">
        <f>SUM(C3:C148)</f>
        <v>-3059.15</v>
      </c>
      <c r="E148" s="35" t="s">
        <v>33</v>
      </c>
    </row>
    <row r="149" spans="1:5">
      <c r="A149" s="25">
        <v>46160</v>
      </c>
      <c r="B149" s="34" t="s">
        <v>63</v>
      </c>
      <c r="C149" s="27">
        <v>5.04</v>
      </c>
      <c r="D149" s="21">
        <f>SUM(C3:C149)</f>
        <v>-3054.11</v>
      </c>
      <c r="E149" s="35"/>
    </row>
    <row r="150" spans="1:5">
      <c r="A150" s="25">
        <v>46179</v>
      </c>
      <c r="B150" s="34" t="s">
        <v>15</v>
      </c>
      <c r="C150" s="27">
        <v>30</v>
      </c>
      <c r="D150" s="21">
        <f>SUM(C3:C150)</f>
        <v>-3024.11</v>
      </c>
      <c r="E150" s="35" t="s">
        <v>33</v>
      </c>
    </row>
    <row r="151" spans="1:5">
      <c r="A151" s="25">
        <v>46184</v>
      </c>
      <c r="B151" s="34" t="s">
        <v>17</v>
      </c>
      <c r="C151" s="27">
        <v>10</v>
      </c>
      <c r="D151" s="21">
        <f>SUM(C3:C151)</f>
        <v>-3014.11</v>
      </c>
      <c r="E151" s="35"/>
    </row>
    <row r="152" spans="1:5">
      <c r="A152" s="25">
        <v>46192</v>
      </c>
      <c r="B152" s="34" t="s">
        <v>15</v>
      </c>
      <c r="C152" s="27">
        <v>20</v>
      </c>
      <c r="D152" s="21">
        <f>SUM(C3:C152)</f>
        <v>-2994.11</v>
      </c>
      <c r="E152" s="35" t="s">
        <v>33</v>
      </c>
    </row>
    <row r="153" spans="1:5">
      <c r="A153" s="25">
        <v>46193</v>
      </c>
      <c r="B153" s="34" t="s">
        <v>17</v>
      </c>
      <c r="C153" s="27">
        <v>50</v>
      </c>
      <c r="D153" s="21">
        <f>SUM(C3:C153)</f>
        <v>-2944.11</v>
      </c>
      <c r="E153" s="35"/>
    </row>
    <row r="154" spans="1:5">
      <c r="A154" s="32"/>
      <c r="B154" s="34" t="s">
        <v>15</v>
      </c>
      <c r="C154" s="27">
        <v>10</v>
      </c>
      <c r="D154" s="21">
        <f>SUM(C3:C154)</f>
        <v>-2934.11</v>
      </c>
      <c r="E154" s="35" t="s">
        <v>33</v>
      </c>
    </row>
    <row r="155" spans="1:5">
      <c r="A155" s="25">
        <v>46196</v>
      </c>
      <c r="B155" s="34" t="s">
        <v>26</v>
      </c>
      <c r="C155" s="27">
        <v>25</v>
      </c>
      <c r="D155" s="21">
        <f>SUM(C3:C155)</f>
        <v>-2909.11</v>
      </c>
      <c r="E155" s="35"/>
    </row>
    <row r="156" spans="1:5">
      <c r="A156" s="25">
        <v>46204</v>
      </c>
      <c r="B156" s="34" t="s">
        <v>15</v>
      </c>
      <c r="C156" s="27">
        <v>20</v>
      </c>
      <c r="D156" s="21">
        <f>SUM(C3:C156)</f>
        <v>-2889.11</v>
      </c>
      <c r="E156" s="35" t="s">
        <v>33</v>
      </c>
    </row>
    <row r="157" spans="1:5">
      <c r="A157" s="25">
        <v>46205</v>
      </c>
      <c r="B157" s="34" t="s">
        <v>58</v>
      </c>
      <c r="C157" s="27">
        <v>8</v>
      </c>
      <c r="D157" s="21">
        <f>SUM(C3:C157)</f>
        <v>-2881.11</v>
      </c>
      <c r="E157" s="35"/>
    </row>
    <row r="158" spans="1:5">
      <c r="A158" s="32"/>
      <c r="B158" s="34" t="s">
        <v>17</v>
      </c>
      <c r="C158" s="27">
        <v>240</v>
      </c>
      <c r="D158" s="21">
        <f>SUM(C3:C158)</f>
        <v>-2641.11</v>
      </c>
      <c r="E158" s="35"/>
    </row>
    <row r="159" spans="1:5">
      <c r="A159" s="32"/>
      <c r="B159" s="34" t="s">
        <v>15</v>
      </c>
      <c r="C159" s="27">
        <v>10</v>
      </c>
      <c r="D159" s="21">
        <f>SUM(C3:C159)</f>
        <v>-2631.11</v>
      </c>
      <c r="E159" s="35" t="s">
        <v>33</v>
      </c>
    </row>
    <row r="160" spans="1:5">
      <c r="A160" s="25">
        <v>46206</v>
      </c>
      <c r="B160" s="34" t="s">
        <v>26</v>
      </c>
      <c r="C160" s="27">
        <v>5</v>
      </c>
      <c r="D160" s="21">
        <f>SUM(C3:C160)</f>
        <v>-2626.11</v>
      </c>
      <c r="E160" s="35" t="s">
        <v>33</v>
      </c>
    </row>
    <row r="161" spans="1:5">
      <c r="A161" s="25">
        <v>46210</v>
      </c>
      <c r="B161" s="34" t="s">
        <v>23</v>
      </c>
      <c r="C161" s="27">
        <v>33</v>
      </c>
      <c r="D161" s="21">
        <f>SUM(C3:C161)</f>
        <v>-2593.11</v>
      </c>
      <c r="E161" s="35"/>
    </row>
    <row r="162" spans="1:5">
      <c r="A162" s="25">
        <v>46219</v>
      </c>
      <c r="B162" s="34" t="s">
        <v>13</v>
      </c>
      <c r="C162" s="27">
        <v>121.04</v>
      </c>
      <c r="D162" s="21">
        <f>SUM(C3:C162)</f>
        <v>-2472.07</v>
      </c>
      <c r="E162" s="35"/>
    </row>
    <row r="163" spans="1:5">
      <c r="A163" s="38">
        <v>46305</v>
      </c>
      <c r="B163" s="34" t="s">
        <v>39</v>
      </c>
      <c r="C163" s="27">
        <v>12</v>
      </c>
      <c r="D163" s="21">
        <f>SUM(C3:C163)</f>
        <v>-2460.07</v>
      </c>
      <c r="E163" s="35"/>
    </row>
    <row r="164" spans="1:5">
      <c r="A164" s="39"/>
      <c r="B164" s="34" t="s">
        <v>70</v>
      </c>
      <c r="C164" s="27">
        <v>2.74</v>
      </c>
      <c r="D164" s="21">
        <f>SUM(C3:C164)</f>
        <v>-2457.33</v>
      </c>
      <c r="E164" s="35"/>
    </row>
    <row r="165" spans="1:5">
      <c r="A165" s="39"/>
      <c r="B165" s="34" t="s">
        <v>54</v>
      </c>
      <c r="C165" s="27">
        <v>10</v>
      </c>
      <c r="D165" s="21">
        <f>SUM(C3:C165)</f>
        <v>-2447.33</v>
      </c>
      <c r="E165" s="35"/>
    </row>
    <row r="166" spans="1:5">
      <c r="A166" s="40"/>
      <c r="B166" s="41"/>
      <c r="C166" s="42"/>
      <c r="D166" s="43"/>
      <c r="E166" s="44"/>
    </row>
    <row r="167" spans="1:5">
      <c r="A167" s="45"/>
      <c r="B167" s="46"/>
      <c r="C167" s="47"/>
      <c r="D167" s="47"/>
      <c r="E167" s="48"/>
    </row>
    <row r="168" spans="1:5">
      <c r="A168" s="49" t="s">
        <v>83</v>
      </c>
      <c r="B168" s="49"/>
      <c r="C168" s="49"/>
      <c r="D168" s="49"/>
      <c r="E168" s="49"/>
    </row>
  </sheetData>
  <mergeCells count="43">
    <mergeCell ref="A1:E1"/>
    <mergeCell ref="G1:K1"/>
    <mergeCell ref="A168:E168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A153:A154"/>
    <mergeCell ref="A157:A159"/>
    <mergeCell ref="A163:A165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6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{daf3b84c-7971-45d3-910d-4abd77f6c13b}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{964efb26-34c7-43c0-9616-0cb0a86ecb44}</x14:id>
        </ext>
      </extLst>
    </cfRule>
  </conditionalFormatting>
  <conditionalFormatting sqref="D1:D18 D20:D23 D25:D26 D28:D42 D44:D45 D47:D48 D50:D51 D53 D55 D57:D60 D62:D64 D66:D73 D75:D92 D95:D98 D103:D167 D169:D1048576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{9025380e-b8c2-49f8-a21c-3e743cc95b32}</x14:id>
        </ext>
      </extLst>
    </cfRule>
  </conditionalFormatting>
  <conditionalFormatting sqref="I1:I17 I19:I26 I42:I1048576 I28:I40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{10de938c-8233-4d7c-96e6-bc0c91a6d123}</x14:id>
        </ext>
      </extLst>
    </cfRule>
  </conditionalFormatting>
  <conditionalFormatting sqref="I1:I17 I19:I26 I42:I1048576 I28 I30:I40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{1b06e32f-e60b-4204-9f5c-a98063618033}</x14:id>
        </ext>
      </extLst>
    </cfRule>
  </conditionalFormatting>
  <conditionalFormatting sqref="I1:I17 I19:I25 I42:I1048576 I30:I40 I2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{2ff10b1e-3672-4e95-ad46-0dc91fa08703}</x14:id>
        </ext>
      </extLst>
    </cfRule>
  </conditionalFormatting>
  <conditionalFormatting sqref="I1:I9 I21:I25 I42:I1048576 I19 I11:I17 I28 I30:I40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{e19930b4-8329-405b-90a6-ab502815cbc9}</x14:id>
        </ext>
      </extLst>
    </cfRule>
  </conditionalFormatting>
  <conditionalFormatting sqref="I1:I9 I21:I24 I42:I1048576 I19 I11:I17 I28 I30:I40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{45ae7e1c-763c-46ff-a2ee-69e1ad8f11ff}</x14:id>
        </ext>
      </extLst>
    </cfRule>
  </conditionalFormatting>
  <conditionalFormatting sqref="I1:I17 I19 I42:I1048576 I21:I25 I28 I30:I4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{87982b8a-67e0-4d3e-8484-167f6b5a7892}</x14:id>
        </ext>
      </extLst>
    </cfRule>
  </conditionalFormatting>
  <conditionalFormatting sqref="I2 I55:I1048576 I33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{ffc17467-5da3-433c-8ac5-69faa3276a81}</x14:id>
        </ext>
      </extLst>
    </cfRule>
  </conditionalFormatting>
  <conditionalFormatting sqref="I2:I4 I11:I17 I6:I7 I43:I1048576 I19 I21:I24 I9 I28 I30:I40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{8230e915-ebf3-4217-855c-30a9aa15f80e}</x14:id>
        </ext>
      </extLst>
    </cfRule>
  </conditionalFormatting>
  <conditionalFormatting sqref="I2:I4 I21:I24 I43:I1048576 I6:I7 I19 I9 I11:I16 I28 I30:I40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{ae04e9da-8447-47fd-ac44-324123086088}</x14:id>
        </ext>
      </extLst>
    </cfRule>
  </conditionalFormatting>
  <conditionalFormatting sqref="D3 D10:D18 D20:D23 D25:D26 D28:D33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8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26 I42:I54 I28:I40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{8a7eaec4-194d-415b-8731-814c9b2e8188}</x14:id>
        </ext>
      </extLst>
    </cfRule>
  </conditionalFormatting>
  <conditionalFormatting sqref="I12:I14 I3:I4 I21:I24 I9 I6:I7 I19 I53:I54 I31 I39:I40 I28 I34:I36 I43:I44 I46:I51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{3b0afb5e-93c1-4dd7-8c58-58f23e63f6ed}</x14:id>
        </ext>
      </extLst>
    </cfRule>
  </conditionalFormatting>
  <conditionalFormatting sqref="I19 I3:I4 I9 I21:I24 I6:I7 I12:I14 I53:I54 I39:I40 I31 I34:I36 I46:I51 I43:I44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{a44628d5-73ef-40e6-8b78-140968182f77}</x14:id>
        </ext>
      </extLst>
    </cfRule>
  </conditionalFormatting>
  <conditionalFormatting sqref="I16 I3:I4 I21:I24 I19 I6:I7 I12:I14 I9 I46:I51 I31 I39:I40 I28 I34:I36 I43:I44 I53:I54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{5a58545d-be4e-44cf-b89e-e93d9a23cfed}</x14:id>
        </ext>
      </extLst>
    </cfRule>
  </conditionalFormatting>
  <conditionalFormatting sqref="I11:I14 I3:I4 I19 I21:I24 I6:I7 I16 I9 I46:I54 I31:I32 I39:I40 I34:I37 I43:I44 I28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{14eef661-d018-4326-8dee-a084a02b7240}</x14:id>
        </ext>
      </extLst>
    </cfRule>
  </conditionalFormatting>
  <conditionalFormatting sqref="I21:I24 I3:I4 I19 I11:I14 I6:I7 I16 I9 I53:I54 I28 I34:I36 I31:I32 I39:I40 I43:I44 I46:I51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{591ea288-a3f6-4809-ad3d-c960ce4c677b}</x14:id>
        </ext>
      </extLst>
    </cfRule>
  </conditionalFormatting>
  <conditionalFormatting sqref="I21:I24 I19 I3:I4 I9 I11:I16 I6:I7 I43:I54 I28 I34:I40 I30:I32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{86bcd8a8-6e6a-4d47-ace4-812c1284383e}</x14:id>
        </ext>
      </extLst>
    </cfRule>
  </conditionalFormatting>
  <conditionalFormatting sqref="I11:I16 I3:I4 I21:I24 I19 I6:I7 I9 I43:I54 I31:I32 I34:I40 I28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{11adac6c-2f92-4f6c-82bb-56950e2d556e}</x14:id>
        </ext>
      </extLst>
    </cfRule>
  </conditionalFormatting>
  <conditionalFormatting sqref="I11:I17 I21:I24 I3:I4 I19 I9 I6:I7 I43:I54 I34:I40 I30:I32 I28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{25db3124-d27e-47b6-a736-15c2e55878a4}</x14:id>
        </ext>
      </extLst>
    </cfRule>
  </conditionalFormatting>
  <conditionalFormatting sqref="I11:I17 I21:I24 I19 I9 I3:I7 I42:I54 I30:I32 I28 I34:I40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{e5d398f1-17c9-408d-8122-f7ca0250a9f6}</x14:id>
        </ext>
      </extLst>
    </cfRule>
  </conditionalFormatting>
  <conditionalFormatting sqref="I19 I21:I24 I9 I3:I7 I11:I17 I43:I54 I30:I32 I34:I40 I28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{737fbe19-9679-40e7-86b3-4e00ddbafea9}</x14:id>
        </ext>
      </extLst>
    </cfRule>
  </conditionalFormatting>
  <conditionalFormatting sqref="I19:I25 I3:I17 I42:I54 I28 I34:I40 I30:I32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{e06a5fd6-2eac-46c7-a8d7-2e3ffe8f038d}</x14:id>
        </ext>
      </extLst>
    </cfRule>
  </conditionalFormatting>
  <pageMargins left="0.75" right="0.75" top="1" bottom="1" header="0.5" footer="0.5"/>
  <headerFooter/>
  <ignoredErrors>
    <ignoredError sqref="E40:E41 E45 E48:E49 E34 E36:E37 D3 D8:D108 E8:E14 E16:E17 E19:E20 E22:E23 E25:E27 E29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f3b84c-7971-45d3-910d-4abd77f6c1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</xm:sqref>
        </x14:conditionalFormatting>
        <x14:conditionalFormatting xmlns:xm="http://schemas.microsoft.com/office/excel/2006/main">
          <x14:cfRule type="dataBar" id="{964efb26-34c7-43c0-9616-0cb0a86ecb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9025380e-b8c2-49f8-a21c-3e743cc95b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10de938c-8233-4d7c-96e6-bc0c91a6d1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I1:I17 I19:I26 I42:I1048576 I28:I40</xm:sqref>
        </x14:conditionalFormatting>
        <x14:conditionalFormatting xmlns:xm="http://schemas.microsoft.com/office/excel/2006/main">
          <x14:cfRule type="dataBar" id="{1b06e32f-e60b-4204-9f5c-a98063618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I1:I17 I19:I26 I42:I1048576 I28 I30:I40</xm:sqref>
        </x14:conditionalFormatting>
        <x14:conditionalFormatting xmlns:xm="http://schemas.microsoft.com/office/excel/2006/main">
          <x14:cfRule type="dataBar" id="{2ff10b1e-3672-4e95-ad46-0dc91fa08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I1:I17 I19:I25 I42:I1048576 I30:I40 I28</xm:sqref>
        </x14:conditionalFormatting>
        <x14:conditionalFormatting xmlns:xm="http://schemas.microsoft.com/office/excel/2006/main">
          <x14:cfRule type="dataBar" id="{e19930b4-8329-405b-90a6-ab502815cb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I21:I25 I42:I1048576 I19 I11:I17 I28 I30:I40</xm:sqref>
        </x14:conditionalFormatting>
        <x14:conditionalFormatting xmlns:xm="http://schemas.microsoft.com/office/excel/2006/main">
          <x14:cfRule type="dataBar" id="{45ae7e1c-763c-46ff-a2ee-69e1ad8f11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I21:I24 I42:I1048576 I19 I11:I17 I28 I30:I40</xm:sqref>
        </x14:conditionalFormatting>
        <x14:conditionalFormatting xmlns:xm="http://schemas.microsoft.com/office/excel/2006/main">
          <x14:cfRule type="dataBar" id="{87982b8a-67e0-4d3e-8484-167f6b5a78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I1:I17 I19 I42:I1048576 I21:I25 I28 I30:I40</xm:sqref>
        </x14:conditionalFormatting>
        <x14:conditionalFormatting xmlns:xm="http://schemas.microsoft.com/office/excel/2006/main">
          <x14:cfRule type="dataBar" id="{ffc17467-5da3-433c-8ac5-69faa3276a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I55:I1048576 I33</xm:sqref>
        </x14:conditionalFormatting>
        <x14:conditionalFormatting xmlns:xm="http://schemas.microsoft.com/office/excel/2006/main">
          <x14:cfRule type="dataBar" id="{8230e915-ebf3-4217-855c-30a9aa15f8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I11:I17 I6:I7 I43:I1048576 I19 I21:I24 I9 I28 I30:I40</xm:sqref>
        </x14:conditionalFormatting>
        <x14:conditionalFormatting xmlns:xm="http://schemas.microsoft.com/office/excel/2006/main">
          <x14:cfRule type="dataBar" id="{ae04e9da-8447-47fd-ac44-3241230860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I21:I24 I43:I1048576 I6:I7 I19 I9 I11:I16 I28 I30:I40</xm:sqref>
        </x14:conditionalFormatting>
        <x14:conditionalFormatting xmlns:xm="http://schemas.microsoft.com/office/excel/2006/main">
          <x14:cfRule type="dataBar" id="{8a7eaec4-194d-415b-8731-814c9b2e81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I3:I26 I42:I54 I28:I40</xm:sqref>
        </x14:conditionalFormatting>
        <x14:conditionalFormatting xmlns:xm="http://schemas.microsoft.com/office/excel/2006/main">
          <x14:cfRule type="dataBar" id="{3b0afb5e-93c1-4dd7-8c58-58f23e63f6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I12:I14 I3:I4 I21:I24 I9 I6:I7 I19 I53:I54 I31 I39:I40 I28 I34:I36 I43:I44 I46:I51</xm:sqref>
        </x14:conditionalFormatting>
        <x14:conditionalFormatting xmlns:xm="http://schemas.microsoft.com/office/excel/2006/main">
          <x14:cfRule type="dataBar" id="{a44628d5-73ef-40e6-8b78-140968182f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I19 I3:I4 I9 I21:I24 I6:I7 I12:I14 I53:I54 I39:I40 I31 I34:I36 I46:I51 I43:I44</xm:sqref>
        </x14:conditionalFormatting>
        <x14:conditionalFormatting xmlns:xm="http://schemas.microsoft.com/office/excel/2006/main">
          <x14:cfRule type="dataBar" id="{5a58545d-be4e-44cf-b89e-e93d9a23cf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I16 I3:I4 I21:I24 I19 I6:I7 I12:I14 I9 I46:I51 I31 I39:I40 I28 I34:I36 I43:I44 I53:I54</xm:sqref>
        </x14:conditionalFormatting>
        <x14:conditionalFormatting xmlns:xm="http://schemas.microsoft.com/office/excel/2006/main">
          <x14:cfRule type="dataBar" id="{14eef661-d018-4326-8dee-a084a02b72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I11:I14 I3:I4 I19 I21:I24 I6:I7 I16 I9 I46:I54 I31:I32 I39:I40 I34:I37 I43:I44 I28</xm:sqref>
        </x14:conditionalFormatting>
        <x14:conditionalFormatting xmlns:xm="http://schemas.microsoft.com/office/excel/2006/main">
          <x14:cfRule type="dataBar" id="{591ea288-a3f6-4809-ad3d-c960ce4c67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I21:I24 I3:I4 I19 I11:I14 I6:I7 I16 I9 I53:I54 I28 I34:I36 I31:I32 I39:I40 I43:I44 I46:I51</xm:sqref>
        </x14:conditionalFormatting>
        <x14:conditionalFormatting xmlns:xm="http://schemas.microsoft.com/office/excel/2006/main">
          <x14:cfRule type="dataBar" id="{86bcd8a8-6e6a-4d47-ace4-812c128438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I21:I24 I19 I3:I4 I9 I11:I16 I6:I7 I43:I54 I28 I34:I40 I30:I32</xm:sqref>
        </x14:conditionalFormatting>
        <x14:conditionalFormatting xmlns:xm="http://schemas.microsoft.com/office/excel/2006/main">
          <x14:cfRule type="dataBar" id="{11adac6c-2f92-4f6c-82bb-56950e2d55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I11:I16 I3:I4 I21:I24 I19 I6:I7 I9 I43:I54 I31:I32 I34:I40 I28</xm:sqref>
        </x14:conditionalFormatting>
        <x14:conditionalFormatting xmlns:xm="http://schemas.microsoft.com/office/excel/2006/main">
          <x14:cfRule type="dataBar" id="{25db3124-d27e-47b6-a736-15c2e55878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I11:I17 I21:I24 I3:I4 I19 I9 I6:I7 I43:I54 I34:I40 I30:I32 I28</xm:sqref>
        </x14:conditionalFormatting>
        <x14:conditionalFormatting xmlns:xm="http://schemas.microsoft.com/office/excel/2006/main">
          <x14:cfRule type="dataBar" id="{e5d398f1-17c9-408d-8122-f7ca0250a9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I11:I17 I21:I24 I19 I9 I3:I7 I42:I54 I30:I32 I28 I34:I40</xm:sqref>
        </x14:conditionalFormatting>
        <x14:conditionalFormatting xmlns:xm="http://schemas.microsoft.com/office/excel/2006/main">
          <x14:cfRule type="dataBar" id="{737fbe19-9679-40e7-86b3-4e00ddbafe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I19 I21:I24 I9 I3:I7 I11:I17 I43:I54 I30:I32 I34:I40 I28</xm:sqref>
        </x14:conditionalFormatting>
        <x14:conditionalFormatting xmlns:xm="http://schemas.microsoft.com/office/excel/2006/main">
          <x14:cfRule type="dataBar" id="{e06a5fd6-2eac-46c7-a8d7-2e3ffe8f03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I19:I25 I3:I17 I42:I54 I28 I34:I40 I30:I32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收支与赞助鸣谢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2026-10-10T16:10:38Z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