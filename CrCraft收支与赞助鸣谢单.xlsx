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<sst xmlns="http://schemas.openxmlformats.org/spreadsheetml/2006/main" count="291" uniqueCount="114">
  <si>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</si>
  <si>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</si>
  <si>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</si>
  <si>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</si>
  <si>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</si>
  <si>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</si>
  <si>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</si>
  <si>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</si>
  <si>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</si>
  <si>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</si>
  <si>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</si>
  <si>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</si>
  <si>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</si>
  <si>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</si>
  <si>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↑1</t>
  </si>
  <si>
    <t>MoFangYa_</t>
  </si>
  <si>
    <t>Celi2357</t>
  </si>
  <si>
    <t>↓1</t>
  </si>
  <si>
    <t>BYyihan</t>
  </si>
  <si>
    <t>qmzp_</t>
  </si>
  <si>
    <t>Mtve</t>
  </si>
  <si>
    <t>KIRINIT</t>
  </si>
  <si>
    <t>zkiftie</t>
  </si>
  <si>
    <t>Disha_UUU2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</si>
  <si>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</si>
  <si>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</si>
  <si>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</si>
  <si>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</si>
  <si>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</si>
  <si>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</si>
  <si>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</si>
  <si>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</si>
  <si>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</si>
  <si>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</si>
  <si>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</si>
  <si>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</si>
  <si>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</si>
  <si>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</si>
  <si>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</si>
  <si>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</si>
  <si>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</si>
  <si>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</si>
  <si>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</si>
  <si>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</si>
  <si>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</si>
  <si>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</si>
  <si>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</si>
  <si>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</si>
  <si>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</si>
  <si>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</si>
  <si>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</si>
  <si>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</si>
  <si>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</si>
  <si>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</si>
  <si>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</si>
  <si>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</si>
  <si>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</si>
  <si>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</si>
  <si>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</si>
  <si>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</si>
  <si>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</si>
  <si>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</si>
  <si>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</si>
  <si>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鞘翅、TP、电费、羊毛、村民、TNT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</si>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</sst>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13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right" vertical="center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7"/>
  <sheetViews>
    <sheetView tabSelected="1" workbookViewId="0">
      <pane ySplit="2" topLeftCell="A3" activePane="bottomLeft" state="frozen"/>
      <selection/>
      <selection pane="bottomLeft" activeCell="I4" sqref="I4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SUM(C44,C49,C51:C51,C53,C58:C58,C60:C60,C63,C66:C66,C68:C68,C70,C72:C72,C77,C91,C95,C125,C127,C136,C138,C141,C148,C150,C152,C154)</f>
        <v>507</v>
      </c>
      <c r="J3" s="3">
        <v>46193</v>
      </c>
      <c r="K3" t="s">
        <v>14</v>
      </c>
    </row>
    <row r="4" spans="1:11">
      <c r="A4" s="12"/>
      <c r="B4" s="8" t="s">
        <v>15</v>
      </c>
      <c r="C4" s="13">
        <v>0.55</v>
      </c>
      <c r="D4" s="14"/>
      <c r="E4" s="9"/>
      <c r="G4" s="15">
        <v>2</v>
      </c>
      <c r="H4" s="10" t="s">
        <v>16</v>
      </c>
      <c r="I4" s="16">
        <f>SUM(C10,C15,C18:C18,C21:C21,C24,C31:C31,C36,C43,C88,C90,C114)</f>
        <v>504.2</v>
      </c>
      <c r="J4" s="3">
        <v>45975</v>
      </c>
      <c r="K4" t="s">
        <v>17</v>
      </c>
    </row>
    <row r="5" spans="1:11">
      <c r="A5" s="12"/>
      <c r="B5" s="8" t="s">
        <v>18</v>
      </c>
      <c r="C5" s="13">
        <v>2</v>
      </c>
      <c r="D5" s="14"/>
      <c r="E5" s="9"/>
      <c r="G5" s="15">
        <v>3</v>
      </c>
      <c r="H5" s="10" t="s">
        <v>19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20</v>
      </c>
      <c r="C6" s="13">
        <v>3</v>
      </c>
      <c r="D6" s="14"/>
      <c r="E6" s="9"/>
      <c r="G6" s="15">
        <v>4</v>
      </c>
      <c r="H6" s="1" t="s">
        <v>21</v>
      </c>
      <c r="I6" s="2">
        <f>SUM(C110:C110,C113,C116,C118,C129,C134,C142,C151,C153)</f>
        <v>260</v>
      </c>
      <c r="J6" s="3">
        <v>46193</v>
      </c>
    </row>
    <row r="7" spans="1:11">
      <c r="A7" s="12"/>
      <c r="B7" s="8" t="s">
        <v>22</v>
      </c>
      <c r="C7" s="13">
        <v>1.28</v>
      </c>
      <c r="D7" s="14"/>
      <c r="E7" s="9"/>
      <c r="G7" s="15">
        <v>5</v>
      </c>
      <c r="H7" s="10" t="s">
        <v>23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24</v>
      </c>
      <c r="C8" s="13">
        <v>9</v>
      </c>
      <c r="D8" s="14">
        <f>SUM(C3:C8)</f>
        <v>24.83</v>
      </c>
      <c r="E8" s="9"/>
      <c r="G8" s="15">
        <v>6</v>
      </c>
      <c r="H8" s="10" t="s">
        <v>25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26</v>
      </c>
      <c r="C9" s="13">
        <v>0.1</v>
      </c>
      <c r="D9" s="14">
        <f>SUM(C3:C9)</f>
        <v>24.93</v>
      </c>
      <c r="E9" s="9"/>
      <c r="G9" s="15">
        <v>7</v>
      </c>
      <c r="H9" s="10" t="s">
        <v>27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16</v>
      </c>
      <c r="C10" s="13">
        <v>39</v>
      </c>
      <c r="D10" s="14">
        <f>SUM(C3:C10)</f>
        <v>63.93</v>
      </c>
      <c r="E10" s="9"/>
      <c r="G10" s="15">
        <v>8</v>
      </c>
      <c r="H10" s="10" t="s">
        <v>28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23</v>
      </c>
      <c r="C11" s="13">
        <v>130</v>
      </c>
      <c r="D11" s="14">
        <f>SUM(C3:C11)</f>
        <v>193.93</v>
      </c>
      <c r="E11" s="9" t="s">
        <v>29</v>
      </c>
      <c r="G11" s="15">
        <v>9</v>
      </c>
      <c r="H11" s="10" t="s">
        <v>24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30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31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32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16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23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16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16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16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23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19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23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62</v>
      </c>
      <c r="I30" s="2">
        <v>5.04</v>
      </c>
      <c r="J30" s="3">
        <v>46160</v>
      </c>
    </row>
    <row r="31" spans="1:10">
      <c r="A31" s="17">
        <v>45341</v>
      </c>
      <c r="B31" s="8" t="s">
        <v>16</v>
      </c>
      <c r="C31" s="13">
        <v>68</v>
      </c>
      <c r="D31" s="14">
        <f>SUM(C3:C31)</f>
        <v>-272.11</v>
      </c>
      <c r="E31" s="9" t="s">
        <v>63</v>
      </c>
      <c r="G31">
        <v>29</v>
      </c>
      <c r="H31" s="10" t="s">
        <v>31</v>
      </c>
      <c r="I31" s="16">
        <v>5.02</v>
      </c>
      <c r="J31" s="3">
        <v>44787</v>
      </c>
    </row>
    <row r="32" spans="1:10">
      <c r="A32" s="17">
        <v>45368</v>
      </c>
      <c r="B32" s="8" t="s">
        <v>19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</row>
    <row r="34" spans="1:10">
      <c r="A34" s="17">
        <v>45394</v>
      </c>
      <c r="B34" s="8" t="s">
        <v>19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</row>
    <row r="36" spans="1:10">
      <c r="A36" s="17">
        <v>45403</v>
      </c>
      <c r="B36" s="8" t="s">
        <v>16</v>
      </c>
      <c r="C36" s="13">
        <v>3.2</v>
      </c>
      <c r="D36" s="14">
        <f>SUM(C3:C36)</f>
        <v>-217.72</v>
      </c>
      <c r="E36" s="9"/>
      <c r="G36">
        <v>34</v>
      </c>
      <c r="H36" s="10" t="s">
        <v>20</v>
      </c>
      <c r="I36" s="16">
        <v>3</v>
      </c>
      <c r="J36" s="3" t="s">
        <v>11</v>
      </c>
    </row>
    <row r="37" spans="1:10">
      <c r="A37" s="17">
        <v>45403</v>
      </c>
      <c r="B37" s="8" t="s">
        <v>19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</row>
    <row r="39" spans="1:10">
      <c r="A39" s="17">
        <v>45417</v>
      </c>
      <c r="B39" s="8" t="s">
        <v>19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18</v>
      </c>
      <c r="I40" s="16">
        <v>2</v>
      </c>
      <c r="J40" s="3" t="s">
        <v>11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</row>
    <row r="42" spans="1:10">
      <c r="A42" s="17">
        <v>45494</v>
      </c>
      <c r="B42" s="8" t="s">
        <v>19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43</v>
      </c>
      <c r="I42" s="16">
        <v>1.32</v>
      </c>
      <c r="J42" s="3">
        <v>44958</v>
      </c>
    </row>
    <row r="43" spans="1:10">
      <c r="A43" s="17"/>
      <c r="B43" s="8" t="s">
        <v>16</v>
      </c>
      <c r="C43" s="13">
        <v>2</v>
      </c>
      <c r="D43" s="23"/>
      <c r="E43" s="9" t="s">
        <v>80</v>
      </c>
      <c r="G43">
        <v>41</v>
      </c>
      <c r="H43" s="10" t="s">
        <v>22</v>
      </c>
      <c r="I43" s="16">
        <v>1.28</v>
      </c>
      <c r="J43" s="3" t="s">
        <v>11</v>
      </c>
    </row>
    <row r="44" spans="1:10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49</v>
      </c>
      <c r="I44" s="16">
        <v>1.01</v>
      </c>
      <c r="J44" s="3">
        <v>45141</v>
      </c>
    </row>
    <row r="45" spans="1:10">
      <c r="A45" s="25">
        <v>45496</v>
      </c>
      <c r="B45" s="26" t="s">
        <v>24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</row>
    <row r="46" spans="1:10">
      <c r="A46" s="29"/>
      <c r="B46" s="26" t="s">
        <v>34</v>
      </c>
      <c r="C46" s="27">
        <v>3</v>
      </c>
      <c r="D46" s="30"/>
      <c r="E46" s="28" t="s">
        <v>83</v>
      </c>
      <c r="G46">
        <v>44</v>
      </c>
      <c r="H46" s="10" t="s">
        <v>15</v>
      </c>
      <c r="I46" s="16">
        <v>0.55</v>
      </c>
      <c r="J46" s="3" t="s">
        <v>11</v>
      </c>
    </row>
    <row r="47" spans="1:10">
      <c r="A47" s="17">
        <v>45497</v>
      </c>
      <c r="B47" s="26" t="s">
        <v>24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</row>
    <row r="48" spans="1:10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</row>
    <row r="49" spans="1:10">
      <c r="A49" s="31"/>
      <c r="B49" s="26" t="s">
        <v>13</v>
      </c>
      <c r="C49" s="27">
        <v>5</v>
      </c>
      <c r="D49" s="30"/>
      <c r="E49" s="28" t="s">
        <v>69</v>
      </c>
      <c r="G49">
        <v>47</v>
      </c>
      <c r="H49" s="10" t="s">
        <v>47</v>
      </c>
      <c r="I49" s="16">
        <v>0.11</v>
      </c>
      <c r="J49" s="3">
        <v>45140</v>
      </c>
    </row>
    <row r="50" spans="1:10">
      <c r="A50" s="25">
        <v>45505</v>
      </c>
      <c r="B50" s="26" t="s">
        <v>24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26</v>
      </c>
      <c r="I50" s="16">
        <v>0.1</v>
      </c>
      <c r="J50" s="3">
        <v>44213</v>
      </c>
    </row>
    <row r="51" spans="1:10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27</v>
      </c>
      <c r="C52" s="27">
        <v>86</v>
      </c>
      <c r="D52" s="30"/>
      <c r="E52" s="28" t="s">
        <v>88</v>
      </c>
    </row>
    <row r="53" spans="1:10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19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0">
      <c r="A56" s="31"/>
      <c r="B56" s="26" t="s">
        <v>34</v>
      </c>
      <c r="C56" s="27">
        <v>10</v>
      </c>
      <c r="D56" s="30"/>
      <c r="E56" s="28"/>
    </row>
    <row r="57" spans="1:10">
      <c r="A57" s="25">
        <v>45510</v>
      </c>
      <c r="B57" s="26" t="s">
        <v>19</v>
      </c>
      <c r="C57" s="27">
        <v>40</v>
      </c>
      <c r="D57" s="20">
        <f>SUM(C3:C57)</f>
        <v>-1697.27</v>
      </c>
      <c r="E57" s="28" t="s">
        <v>88</v>
      </c>
    </row>
    <row r="58" spans="1:10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0">
      <c r="A59" s="25">
        <v>45525</v>
      </c>
      <c r="B59" s="33" t="s">
        <v>19</v>
      </c>
      <c r="C59" s="27">
        <v>6</v>
      </c>
      <c r="D59" s="21">
        <f>SUM(C3:C59)</f>
        <v>-1619.27</v>
      </c>
      <c r="E59" s="28" t="s">
        <v>91</v>
      </c>
    </row>
    <row r="60" spans="1:10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19</v>
      </c>
      <c r="C61" s="27">
        <v>20</v>
      </c>
      <c r="D61" s="30"/>
      <c r="E61" s="28" t="s">
        <v>88</v>
      </c>
    </row>
    <row r="62" spans="1:10">
      <c r="A62" s="31">
        <v>45551</v>
      </c>
      <c r="B62" s="33" t="s">
        <v>23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27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19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19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19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34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19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23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28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16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16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28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28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28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28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16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28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25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25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28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25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25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25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32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32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32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62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21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69</v>
      </c>
    </row>
    <row r="153" spans="1:5">
      <c r="A153" s="37">
        <v>46193</v>
      </c>
      <c r="B153" s="33" t="s">
        <v>21</v>
      </c>
      <c r="C153" s="27">
        <v>50</v>
      </c>
      <c r="D153" s="21">
        <f>SUM(C3:C153)</f>
        <v>-2944.11</v>
      </c>
      <c r="E153" s="34"/>
    </row>
    <row r="154" spans="1:5">
      <c r="A154" s="38"/>
      <c r="B154" s="39" t="s">
        <v>13</v>
      </c>
      <c r="C154" s="40">
        <v>10</v>
      </c>
      <c r="D154" s="21">
        <f>SUM(C3:C154)</f>
        <v>-2934.11</v>
      </c>
      <c r="E154" s="41" t="s">
        <v>69</v>
      </c>
    </row>
    <row r="155" spans="1:5">
      <c r="A155" s="42"/>
      <c r="B155" s="39"/>
      <c r="C155" s="40"/>
      <c r="D155" s="43"/>
      <c r="E155" s="41"/>
    </row>
    <row r="156" spans="1:5">
      <c r="A156" s="44"/>
      <c r="B156" s="45"/>
      <c r="C156" s="46"/>
      <c r="D156" s="46"/>
      <c r="E156" s="47"/>
    </row>
    <row r="157" spans="1:5">
      <c r="A157" s="48" t="s">
        <v>113</v>
      </c>
      <c r="B157" s="48"/>
      <c r="C157" s="48"/>
      <c r="D157" s="48"/>
      <c r="E157" s="48"/>
    </row>
  </sheetData>
  <mergeCells count="41">
    <mergeCell ref="A1:E1"/>
    <mergeCell ref="G1:K1"/>
    <mergeCell ref="A157:E157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{c819861f-668f-4259-b4bb-d384cd5aff57}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{90938403-bc59-4aa5-be85-7a6b49387e1f}</x14:id>
        </ext>
      </extLst>
    </cfRule>
  </conditionalFormatting>
  <conditionalFormatting sqref="D1:D18 D20:D23 D25:D26 D28:D42 D44:D45 D47:D48 D50:D51 D53 D55 D57:D60 D62:D64 D66:D73 D75:D92 D95:D98 D103:D156 D158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{f1b0efb8-5c5d-4d32-b9ab-1af08cf87039}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{e2f33578-75a6-44dc-b1e1-9325d1cb347d}</x14:id>
        </ext>
      </extLst>
    </cfRule>
  </conditionalFormatting>
  <conditionalFormatting sqref="I1:I12 I26:I1048576 I14:I18 I20:I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{3ee43b40-47e4-47a3-aeea-295a4d26d50d}</x14:id>
        </ext>
      </extLst>
    </cfRule>
  </conditionalFormatting>
  <conditionalFormatting sqref="I1:I12 I26:I1048576 I14:I18 I20:I23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{afba1f70-d754-4277-ab3b-386407a9bd0d}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{c8c8a910-5cb9-4ec9-8ccd-e90e39fca01a}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{6ba8c373-4340-4c3c-9e93-94534c36cf78}</x14:id>
        </ext>
      </extLst>
    </cfRule>
  </conditionalFormatting>
  <conditionalFormatting sqref="I2:I5 I26:I37 I9:I12 I39:I1048576 I20:I23 I14:I18 I7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{89d366d6-92b1-48e8-8d55-1d82681fef7d}</x14:id>
        </ext>
      </extLst>
    </cfRule>
  </conditionalFormatting>
  <conditionalFormatting sqref="I2:I5 I9:I12 I14:I16 I39:I1048576 I20:I23 I18 I7 I26:I37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{d69ac191-40e2-46e5-933e-5aa5d1ff3c18}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2:I47 I3:I5 I7 I39:I40 I9 I11:I12 I28 I18 I14 I26 I20:I23 I49:I50 I36:I37 I31:I33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{c80afe5a-992e-49a2-9536-60242f5c65df}</x14:id>
        </ext>
      </extLst>
    </cfRule>
  </conditionalFormatting>
  <conditionalFormatting sqref="I42:I47 I3:I5 I7 I39:I40 I9 I11:I12 I28 I18 I14 I20:I23 I49:I50 I36:I37 I31:I33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{c660a138-f8d7-47d3-99e7-f6a54001241e}</x14:id>
        </ext>
      </extLst>
    </cfRule>
  </conditionalFormatting>
  <conditionalFormatting sqref="I39:I40 I3:I5 I7 I36:I37 I9 I11:I12 I28 I18 I14 I16 I26 I20:I23 I42:I47 I49:I50 I31:I33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{f31a0447-ffca-4ac3-9bb0-bb658642ca58}</x14:id>
        </ext>
      </extLst>
    </cfRule>
  </conditionalFormatting>
  <conditionalFormatting sqref="I36:I37 I3:I5 I7 I31:I34 I9:I12 I26 I18 I28:I29 I14 I16 I20:I23 I39:I40 I42:I5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{28bb1981-d57d-4a1a-8952-6f2efe47d18f}</x14:id>
        </ext>
      </extLst>
    </cfRule>
  </conditionalFormatting>
  <conditionalFormatting sqref="I39:I40 I3:I5 I7 I36:I37 I9:I12 I26 I18 I14 I16 I20:I23 I28:I29 I42:I47 I49:I50 I31:I33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{4ff42c0e-31bd-4704-8135-d893b82f56cc}</x14:id>
        </ext>
      </extLst>
    </cfRule>
  </conditionalFormatting>
  <conditionalFormatting sqref="I39:I50 I3:I5 I7 I31:I37 I9:I12 I20:I23 I18 I26:I29 I14:I16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{d73dbd87-a4ef-4a56-82b1-52adc1156ef1}</x14:id>
        </ext>
      </extLst>
    </cfRule>
  </conditionalFormatting>
  <conditionalFormatting sqref="I39:I50 I3:I5 I7 I31:I37 I9:I12 I26 I18 I20:I23 I14:I16 I28:I29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{298ba7be-3635-4279-8f3a-cbc8d5262c38}</x14:id>
        </ext>
      </extLst>
    </cfRule>
  </conditionalFormatting>
  <conditionalFormatting sqref="I31:I37 I3:I5 I7 I39:I50 I9:I12 I20:I23 I14:I18 I26:I29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{91c8aad1-a210-428d-a2f2-7a3b85a9543d}</x14:id>
        </ext>
      </extLst>
    </cfRule>
  </conditionalFormatting>
  <conditionalFormatting sqref="I14:I18 I3:I7 I26:I29 I31:I50 I9:I12 I20:I2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{b64add38-6eed-4ee6-8198-3a8159f02cb5}</x14:id>
        </ext>
      </extLst>
    </cfRule>
  </conditionalFormatting>
  <conditionalFormatting sqref="I26:I29 I3:I7 I39:I50 I31:I37 I9:I12 I20:I23 I14:I18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{ac8396ae-2423-472a-9b22-d9688bafa5cd}</x14:id>
        </ext>
      </extLst>
    </cfRule>
  </conditionalFormatting>
  <conditionalFormatting sqref="I26:I29 I3:I24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{47b548a5-ccdc-4d43-9a8b-88e546b6236c}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19861f-668f-4259-b4bb-d384cd5aff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90938403-bc59-4aa5-be85-7a6b49387e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f1b0efb8-5c5d-4d32-b9ab-1af08cf870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e2f33578-75a6-44dc-b1e1-9325d1cb34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3ee43b40-47e4-47a3-aeea-295a4d26d5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I26:I1048576 I14:I18 I20:I24</xm:sqref>
        </x14:conditionalFormatting>
        <x14:conditionalFormatting xmlns:xm="http://schemas.microsoft.com/office/excel/2006/main">
          <x14:cfRule type="dataBar" id="{afba1f70-d754-4277-ab3b-386407a9bd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I26:I1048576 I14:I18 I20:I23</xm:sqref>
        </x14:conditionalFormatting>
        <x14:conditionalFormatting xmlns:xm="http://schemas.microsoft.com/office/excel/2006/main">
          <x14:cfRule type="dataBar" id="{c8c8a910-5cb9-4ec9-8ccd-e90e39fca0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6ba8c373-4340-4c3c-9e93-94534c36cf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89d366d6-92b1-48e8-8d55-1d82681fef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I26:I37 I9:I12 I39:I1048576 I20:I23 I14:I18 I7</xm:sqref>
        </x14:conditionalFormatting>
        <x14:conditionalFormatting xmlns:xm="http://schemas.microsoft.com/office/excel/2006/main">
          <x14:cfRule type="dataBar" id="{d69ac191-40e2-46e5-933e-5aa5d1ff3c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I9:I12 I14:I16 I39:I1048576 I20:I23 I18 I7 I26:I37</xm:sqref>
        </x14:conditionalFormatting>
        <x14:conditionalFormatting xmlns:xm="http://schemas.microsoft.com/office/excel/2006/main">
          <x14:cfRule type="dataBar" id="{c80afe5a-992e-49a2-9536-60242f5c65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I11:I12 I28 I18 I14 I26 I20:I23 I49:I50 I36:I37 I31:I33</xm:sqref>
        </x14:conditionalFormatting>
        <x14:conditionalFormatting xmlns:xm="http://schemas.microsoft.com/office/excel/2006/main">
          <x14:cfRule type="dataBar" id="{c660a138-f8d7-47d3-99e7-f6a5400124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I11:I12 I28 I18 I14 I20:I23 I49:I50 I36:I37 I31:I33</xm:sqref>
        </x14:conditionalFormatting>
        <x14:conditionalFormatting xmlns:xm="http://schemas.microsoft.com/office/excel/2006/main">
          <x14:cfRule type="dataBar" id="{f31a0447-ffca-4ac3-9bb0-bb658642ca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 I11:I12 I28 I18 I14 I16 I26 I20:I23 I42:I47 I49:I50 I31:I33</xm:sqref>
        </x14:conditionalFormatting>
        <x14:conditionalFormatting xmlns:xm="http://schemas.microsoft.com/office/excel/2006/main">
          <x14:cfRule type="dataBar" id="{28bb1981-d57d-4a1a-8952-6f2efe47d1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I36:I37 I3:I5 I7 I31:I34 I9:I12 I26 I18 I28:I29 I14 I16 I20:I23 I39:I40 I42:I50</xm:sqref>
        </x14:conditionalFormatting>
        <x14:conditionalFormatting xmlns:xm="http://schemas.microsoft.com/office/excel/2006/main">
          <x14:cfRule type="dataBar" id="{4ff42c0e-31bd-4704-8135-d893b82f5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I9:I12 I26 I18 I14 I16 I20:I23 I28:I29 I42:I47 I49:I50 I31:I33</xm:sqref>
        </x14:conditionalFormatting>
        <x14:conditionalFormatting xmlns:xm="http://schemas.microsoft.com/office/excel/2006/main">
          <x14:cfRule type="dataBar" id="{d73dbd87-a4ef-4a56-82b1-52adc1156e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I9:I12 I20:I23 I18 I26:I29 I14:I16</xm:sqref>
        </x14:conditionalFormatting>
        <x14:conditionalFormatting xmlns:xm="http://schemas.microsoft.com/office/excel/2006/main">
          <x14:cfRule type="dataBar" id="{298ba7be-3635-4279-8f3a-cbc8d5262c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I9:I12 I26 I18 I20:I23 I14:I16 I28:I29</xm:sqref>
        </x14:conditionalFormatting>
        <x14:conditionalFormatting xmlns:xm="http://schemas.microsoft.com/office/excel/2006/main">
          <x14:cfRule type="dataBar" id="{91c8aad1-a210-428d-a2f2-7a3b85a954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I31:I37 I3:I5 I7 I39:I50 I9:I12 I20:I23 I14:I18 I26:I29</xm:sqref>
        </x14:conditionalFormatting>
        <x14:conditionalFormatting xmlns:xm="http://schemas.microsoft.com/office/excel/2006/main">
          <x14:cfRule type="dataBar" id="{b64add38-6eed-4ee6-8198-3a8159f02c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I14:I18 I3:I7 I26:I29 I31:I50 I9:I12 I20:I23</xm:sqref>
        </x14:conditionalFormatting>
        <x14:conditionalFormatting xmlns:xm="http://schemas.microsoft.com/office/excel/2006/main">
          <x14:cfRule type="dataBar" id="{ac8396ae-2423-472a-9b22-d9688bafa5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I3:I7 I39:I50 I31:I37 I9:I12 I20:I23 I14:I18</xm:sqref>
        </x14:conditionalFormatting>
        <x14:conditionalFormatting xmlns:xm="http://schemas.microsoft.com/office/excel/2006/main">
          <x14:cfRule type="dataBar" id="{47b548a5-ccdc-4d43-9a8b-88e546b623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I3:I24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2026-06-20T09:50:51Z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