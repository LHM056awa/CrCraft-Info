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<sst xmlns="http://schemas.openxmlformats.org/spreadsheetml/2006/main" count="268" uniqueCount="77">
  <si>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</si>
  <si>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</si>
  <si>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</si>
  <si>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</si>
  <si>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</si>
  <si>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</si>
  <si>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</si>
  <si>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</si>
  <si>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</si>
  <si>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</si>
  <si>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</si>
  <si>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</si>
  <si>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</si>
  <si>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</si>
  <si>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↑1</t>
  </si>
  <si>
    <t>MoFangYa_</t>
  </si>
  <si>
    <t>AL_1S_2</t>
  </si>
  <si>
    <t>↓1</t>
  </si>
  <si>
    <t>BYyihan</t>
  </si>
  <si>
    <t>KIRINIT</t>
  </si>
  <si>
    <t>Mtve</t>
  </si>
  <si>
    <t>qmzp_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</si>
  <si>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</si>
  <si>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</si>
  <si>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</si>
  <si>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</si>
  <si>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</si>
  <si>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</si>
  <si>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</si>
  <si>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</si>
  <si>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</si>
  <si>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</si>
  <si>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</si>
  <si>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</si>
  <si>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</si>
  <si>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电费</t>
  </si>
  <si>
    <t>SNHGY</t>
  </si>
  <si>
    <t>Sz05</t>
  </si>
  <si>
    <t>woshixiaoliu_ovo</t>
  </si>
  <si>
    <t>10天群管理员</t>
  </si>
  <si>
    <t>Y37MzZ_TrusT</t>
  </si>
  <si>
    <t>cgh</t>
  </si>
  <si>
    <t>匿名玩家</t>
  </si>
  <si>
    <t>srdownb</t>
  </si>
  <si>
    <t>Xs1st_</t>
  </si>
  <si>
    <t>Alhion_WWW</t>
  </si>
  <si>
    <t>chunfeng</t>
  </si>
  <si>
    <t>darkmoon114514</t>
  </si>
  <si>
    <t>KAMI</t>
  </si>
  <si>
    <t>91kk</t>
  </si>
  <si>
    <t>faxi</t>
  </si>
  <si>
    <t>捐樱花映射VIP</t>
  </si>
  <si>
    <t>wybhh51811</t>
  </si>
  <si>
    <t>樱花映射VIP</t>
  </si>
  <si>
    <t>red_chipi</t>
  </si>
  <si>
    <t>Goocheu_fox</t>
  </si>
  <si>
    <t>Cr_Dragon</t>
  </si>
  <si>
    <t>XL12</t>
  </si>
  <si>
    <t>Xiaoyingawa</t>
  </si>
  <si>
    <t>hanfengzunzhe</t>
  </si>
  <si>
    <t>Onion520</t>
  </si>
  <si>
    <t>lhl</t>
  </si>
  <si>
    <t>xhf</t>
  </si>
  <si>
    <t>YuSaMa1145</t>
  </si>
  <si>
    <t>Mo_Xuan_Yu</t>
  </si>
  <si>
    <t>xiaomin</t>
  </si>
  <si>
    <t>主板、CPU、电源、机械硬盘</t>
  </si>
  <si>
    <t>A1TanJZ</t>
  </si>
  <si>
    <t>littlefish1688</t>
  </si>
  <si>
    <t>QSWY_MC</t>
  </si>
  <si>
    <t>CHYunyou</t>
  </si>
  <si>
    <t>遗物</t>
  </si>
  <si>
    <t>映射VIP</t>
  </si>
  <si>
    <t>物品、电费</t>
  </si>
  <si>
    <t>750W影驰白牌80plus电源</t>
  </si>
  <si>
    <t>主板、CPU、机箱、散热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</si>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</sst>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4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SUM(C10,C15,C18:C18,C21:C21,C24,C31:C31,C36,C43,C88,C90,C114,C162)</f>
        <v>625.24</v>
      </c>
      <c r="J3" s="3">
        <v>46219</v>
      </c>
      <c r="K3" t="s">
        <v>14</v>
      </c>
    </row>
    <row r="4" spans="1:11">
      <c r="A4" s="12"/>
      <c r="B4" s="8" t="s">
        <v>15</v>
      </c>
      <c r="C4" s="13">
        <v>0.55</v>
      </c>
      <c r="D4" s="14"/>
      <c r="E4" s="9"/>
      <c r="G4" s="15">
        <v>2</v>
      </c>
      <c r="H4" s="10" t="s">
        <v>16</v>
      </c>
      <c r="I4" s="16">
        <f>SUM(C44,C49,C51:C51,C53,C58:C58,C60:C60,C63,C66:C66,C68:C68,C70,C72:C72,C77,C91,C95,C125,C127,C136,C138,C141,C148,C150,C152,C154,C156,C159)</f>
        <v>537</v>
      </c>
      <c r="J4" s="3">
        <v>46204</v>
      </c>
      <c r="K4" t="s">
        <v>17</v>
      </c>
    </row>
    <row r="5" spans="1:11">
      <c r="A5" s="12"/>
      <c r="B5" s="8" t="s">
        <v>18</v>
      </c>
      <c r="C5" s="13">
        <v>2</v>
      </c>
      <c r="D5" s="14"/>
      <c r="E5" s="9"/>
      <c r="G5" s="15">
        <v>3</v>
      </c>
      <c r="H5" s="1" t="s">
        <v>19</v>
      </c>
      <c r="I5" s="2">
        <f>SUM(C110:C110,C113,C116,C118,C129,C134,C142,C151,C153,C158)</f>
        <v>500</v>
      </c>
      <c r="J5" s="3">
        <v>46205</v>
      </c>
    </row>
    <row r="6" spans="1:11">
      <c r="A6" s="12"/>
      <c r="B6" s="8" t="s">
        <v>20</v>
      </c>
      <c r="C6" s="13">
        <v>3</v>
      </c>
      <c r="D6" s="14"/>
      <c r="E6" s="9"/>
      <c r="G6" s="15">
        <v>4</v>
      </c>
      <c r="H6" s="10" t="s">
        <v>21</v>
      </c>
      <c r="I6" s="16">
        <f>SUM(C28:C28,C32:C32,C34:C34,C37,C39,C42:C42,C54,C57,C59,C61,C67,C69,C71,C76)</f>
        <v>285.96</v>
      </c>
      <c r="J6" s="3">
        <v>45654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SUM(C121,C123,C126,C128,C131,C161)</f>
        <v>228</v>
      </c>
      <c r="J8" s="3">
        <v>46210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" t="s">
        <v>28</v>
      </c>
      <c r="I10" s="2">
        <f>SUM(C133,C143,C147,C155,C160)</f>
        <v>68.32</v>
      </c>
      <c r="J10" s="3">
        <v>46206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30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24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/>
      <c r="G18" s="15">
        <v>16</v>
      </c>
      <c r="H18" s="10" t="s">
        <v>41</v>
      </c>
      <c r="I18" s="16">
        <f>SUM(C40,C64)</f>
        <v>11</v>
      </c>
      <c r="J18" s="3">
        <v>45555</v>
      </c>
    </row>
    <row r="19" spans="1:10">
      <c r="A19" s="17"/>
      <c r="B19" s="22" t="s">
        <v>42</v>
      </c>
      <c r="C19" s="13">
        <v>1.32</v>
      </c>
      <c r="D19" s="23"/>
      <c r="E19" s="9"/>
      <c r="G19" s="15">
        <v>17</v>
      </c>
      <c r="H19" s="1" t="s">
        <v>43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/>
      <c r="G21" s="15">
        <v>19</v>
      </c>
      <c r="H21" s="10" t="s">
        <v>44</v>
      </c>
      <c r="I21" s="16">
        <v>10</v>
      </c>
      <c r="J21" s="3">
        <v>45234</v>
      </c>
    </row>
    <row r="22" spans="1:10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0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0">
      <c r="A24" s="17"/>
      <c r="B24" s="8" t="s">
        <v>13</v>
      </c>
      <c r="C24" s="13">
        <v>9</v>
      </c>
      <c r="D24" s="23"/>
      <c r="E24" s="9"/>
      <c r="G24" s="15">
        <v>22</v>
      </c>
      <c r="H24" s="1" t="s">
        <v>49</v>
      </c>
      <c r="I24" s="2">
        <v>10</v>
      </c>
      <c r="J24" s="3">
        <v>46069</v>
      </c>
    </row>
    <row r="25" spans="1:10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50</v>
      </c>
      <c r="I25" s="16">
        <v>10</v>
      </c>
      <c r="J25" s="3">
        <v>46145</v>
      </c>
    </row>
    <row r="26" spans="1:10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51</v>
      </c>
      <c r="G26">
        <v>24</v>
      </c>
      <c r="H26" s="10" t="s">
        <v>52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53</v>
      </c>
      <c r="G27">
        <v>25</v>
      </c>
      <c r="H27" s="10" t="s">
        <v>54</v>
      </c>
      <c r="I27" s="2">
        <v>8</v>
      </c>
      <c r="J27" s="3">
        <v>46205</v>
      </c>
    </row>
    <row r="28" spans="1:10">
      <c r="A28" s="17">
        <v>45249</v>
      </c>
      <c r="B28" s="8" t="s">
        <v>21</v>
      </c>
      <c r="C28" s="13">
        <v>15.5</v>
      </c>
      <c r="D28" s="14">
        <f>SUM(C3:C28)</f>
        <v>-400.11</v>
      </c>
      <c r="E28" s="9"/>
      <c r="G28">
        <v>26</v>
      </c>
      <c r="H28" s="10" t="s">
        <v>55</v>
      </c>
      <c r="I28" s="2">
        <v>7.33</v>
      </c>
      <c r="J28" s="3">
        <v>45907</v>
      </c>
    </row>
    <row r="29" spans="1:10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56</v>
      </c>
      <c r="I29" s="16">
        <f>SUM(C82,C84,C94)</f>
        <v>6.98</v>
      </c>
      <c r="J29" s="3">
        <v>45861</v>
      </c>
    </row>
    <row r="30" spans="1:10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/>
      <c r="G30">
        <v>28</v>
      </c>
      <c r="H30" s="10" t="s">
        <v>57</v>
      </c>
      <c r="I30" s="2">
        <v>6</v>
      </c>
      <c r="J30" s="3">
        <v>45868</v>
      </c>
    </row>
    <row r="31" spans="1:10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/>
      <c r="G31">
        <v>29</v>
      </c>
      <c r="H31" s="10" t="s">
        <v>58</v>
      </c>
      <c r="I31" s="2">
        <v>5.04</v>
      </c>
      <c r="J31" s="3">
        <v>46160</v>
      </c>
    </row>
    <row r="32" spans="1:10">
      <c r="A32" s="17">
        <v>45368</v>
      </c>
      <c r="B32" s="8" t="s">
        <v>21</v>
      </c>
      <c r="C32" s="13">
        <v>33.01</v>
      </c>
      <c r="D32" s="14">
        <f>SUM(C3:C32)</f>
        <v>-239.1</v>
      </c>
      <c r="E32" s="9" t="s">
        <v>35</v>
      </c>
      <c r="G32">
        <v>30</v>
      </c>
      <c r="H32" s="10" t="s">
        <v>32</v>
      </c>
      <c r="I32" s="16">
        <v>5.02</v>
      </c>
      <c r="J32" s="3">
        <v>44787</v>
      </c>
    </row>
    <row r="33" spans="1:10">
      <c r="A33" s="17">
        <v>45387</v>
      </c>
      <c r="B33" s="8" t="s">
        <v>59</v>
      </c>
      <c r="C33" s="13">
        <v>1.38</v>
      </c>
      <c r="D33" s="14">
        <f>SUM(C3:C33)</f>
        <v>-237.72</v>
      </c>
      <c r="E33" s="9"/>
      <c r="G33">
        <v>31</v>
      </c>
      <c r="H33" s="10" t="s">
        <v>60</v>
      </c>
      <c r="I33" s="16">
        <v>5</v>
      </c>
      <c r="J33" s="3">
        <v>45634</v>
      </c>
    </row>
    <row r="34" spans="1:10">
      <c r="A34" s="17">
        <v>45394</v>
      </c>
      <c r="B34" s="8" t="s">
        <v>21</v>
      </c>
      <c r="C34" s="13">
        <v>16</v>
      </c>
      <c r="D34" s="14">
        <f>SUM(C3:C34)</f>
        <v>-221.72</v>
      </c>
      <c r="E34" s="9" t="s">
        <v>35</v>
      </c>
      <c r="G34">
        <v>32</v>
      </c>
      <c r="H34" s="10" t="s">
        <v>61</v>
      </c>
      <c r="I34" s="16">
        <v>4.15</v>
      </c>
      <c r="J34" s="3">
        <v>45707</v>
      </c>
    </row>
    <row r="35" spans="1:10">
      <c r="A35" s="17">
        <v>45396</v>
      </c>
      <c r="B35" s="8" t="s">
        <v>59</v>
      </c>
      <c r="C35" s="13">
        <v>0.8</v>
      </c>
      <c r="D35" s="14">
        <f>SUM(C3:C35)</f>
        <v>-220.92</v>
      </c>
      <c r="E35" s="9"/>
      <c r="G35">
        <v>33</v>
      </c>
      <c r="H35" s="10" t="s">
        <v>62</v>
      </c>
      <c r="I35" s="2">
        <v>4</v>
      </c>
      <c r="J35" s="3">
        <v>45885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" t="s">
        <v>63</v>
      </c>
      <c r="I36" s="2">
        <f>SUM(C100,C108)</f>
        <v>4</v>
      </c>
      <c r="J36" s="3">
        <v>45934</v>
      </c>
    </row>
    <row r="37" spans="1:10">
      <c r="A37" s="17">
        <v>45403</v>
      </c>
      <c r="B37" s="8" t="s">
        <v>21</v>
      </c>
      <c r="C37" s="13">
        <v>5</v>
      </c>
      <c r="D37" s="14">
        <f>SUM(C3:C37)</f>
        <v>-212.72</v>
      </c>
      <c r="E37" s="9" t="s">
        <v>35</v>
      </c>
      <c r="G37">
        <v>35</v>
      </c>
      <c r="H37" s="10" t="s">
        <v>20</v>
      </c>
      <c r="I37" s="16">
        <v>3</v>
      </c>
      <c r="J37" s="3" t="s">
        <v>11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/>
      <c r="G38" s="15">
        <v>36</v>
      </c>
      <c r="H38" s="10" t="s">
        <v>64</v>
      </c>
      <c r="I38" s="16">
        <v>3</v>
      </c>
      <c r="J38" s="3">
        <v>45500</v>
      </c>
    </row>
    <row r="39" spans="1:10">
      <c r="A39" s="17">
        <v>45417</v>
      </c>
      <c r="B39" s="8" t="s">
        <v>21</v>
      </c>
      <c r="C39" s="13">
        <v>11</v>
      </c>
      <c r="D39" s="14">
        <f>SUM(C3:C39)</f>
        <v>-194.72</v>
      </c>
      <c r="E39" s="9"/>
      <c r="G39" s="15">
        <v>37</v>
      </c>
      <c r="H39" s="10" t="s">
        <v>65</v>
      </c>
      <c r="I39" s="2">
        <v>2.5</v>
      </c>
      <c r="J39" s="3">
        <v>45976</v>
      </c>
    </row>
    <row r="40" spans="1:10">
      <c r="A40" s="17">
        <v>45421</v>
      </c>
      <c r="B40" s="8" t="s">
        <v>41</v>
      </c>
      <c r="C40" s="13">
        <v>5</v>
      </c>
      <c r="D40" s="14">
        <f>SUM(C3:C40)</f>
        <v>-189.72</v>
      </c>
      <c r="E40" s="9" t="s">
        <v>35</v>
      </c>
      <c r="G40" s="15">
        <v>38</v>
      </c>
      <c r="H40" s="10" t="s">
        <v>59</v>
      </c>
      <c r="I40" s="16">
        <f>SUM(C35,C33:C33)</f>
        <v>2.18</v>
      </c>
      <c r="J40" s="3">
        <v>45396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66</v>
      </c>
      <c r="G41">
        <v>39</v>
      </c>
      <c r="H41" s="10" t="s">
        <v>18</v>
      </c>
      <c r="I41" s="16">
        <v>2</v>
      </c>
      <c r="J41" s="3" t="s">
        <v>11</v>
      </c>
    </row>
    <row r="42" spans="1:10">
      <c r="A42" s="17">
        <v>45494</v>
      </c>
      <c r="B42" s="8" t="s">
        <v>21</v>
      </c>
      <c r="C42" s="13">
        <v>82.45</v>
      </c>
      <c r="D42" s="21">
        <f>SUM(C3:C43)</f>
        <v>-1915.27</v>
      </c>
      <c r="E42" s="9" t="s">
        <v>35</v>
      </c>
      <c r="G42" s="15">
        <v>40</v>
      </c>
      <c r="H42" s="1" t="s">
        <v>67</v>
      </c>
      <c r="I42" s="2">
        <v>2</v>
      </c>
      <c r="J42" s="3">
        <v>45907</v>
      </c>
    </row>
    <row r="43" spans="1:10">
      <c r="A43" s="17"/>
      <c r="B43" s="8" t="s">
        <v>13</v>
      </c>
      <c r="C43" s="13">
        <v>2</v>
      </c>
      <c r="D43" s="23"/>
      <c r="E43" s="9"/>
      <c r="G43">
        <v>41</v>
      </c>
      <c r="H43" s="24" t="s">
        <v>42</v>
      </c>
      <c r="I43" s="16">
        <v>1.32</v>
      </c>
      <c r="J43" s="3">
        <v>44958</v>
      </c>
    </row>
    <row r="44" spans="1:10">
      <c r="A44" s="25">
        <v>45495</v>
      </c>
      <c r="B44" s="26" t="s">
        <v>16</v>
      </c>
      <c r="C44" s="27">
        <v>8</v>
      </c>
      <c r="D44" s="21">
        <f>SUM(C3:C44)</f>
        <v>-1907.27</v>
      </c>
      <c r="E44" s="28"/>
      <c r="G44">
        <v>42</v>
      </c>
      <c r="H44" s="10" t="s">
        <v>22</v>
      </c>
      <c r="I44" s="16">
        <v>1.28</v>
      </c>
      <c r="J44" s="3" t="s">
        <v>11</v>
      </c>
    </row>
    <row r="45" spans="1:10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47</v>
      </c>
      <c r="I45" s="16">
        <v>1.01</v>
      </c>
      <c r="J45" s="3">
        <v>45141</v>
      </c>
    </row>
    <row r="46" spans="1:10">
      <c r="A46" s="29"/>
      <c r="B46" s="26" t="s">
        <v>34</v>
      </c>
      <c r="C46" s="27">
        <v>3</v>
      </c>
      <c r="D46" s="30"/>
      <c r="E46" s="28"/>
      <c r="G46">
        <v>44</v>
      </c>
      <c r="H46" s="10" t="s">
        <v>68</v>
      </c>
      <c r="I46" s="16">
        <v>1</v>
      </c>
      <c r="J46" s="3">
        <v>45794</v>
      </c>
    </row>
    <row r="47" spans="1:10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/>
      <c r="G47">
        <v>45</v>
      </c>
      <c r="H47" s="10" t="s">
        <v>15</v>
      </c>
      <c r="I47" s="16">
        <v>0.55</v>
      </c>
      <c r="J47" s="3" t="s">
        <v>11</v>
      </c>
    </row>
    <row r="48" spans="1:10">
      <c r="A48" s="25">
        <v>45500</v>
      </c>
      <c r="B48" s="26" t="s">
        <v>64</v>
      </c>
      <c r="C48" s="27">
        <v>3</v>
      </c>
      <c r="D48" s="21">
        <f>SUM(C3:C49)</f>
        <v>-1866.27</v>
      </c>
      <c r="E48" s="28"/>
      <c r="G48" s="15">
        <v>46</v>
      </c>
      <c r="H48" s="10" t="s">
        <v>69</v>
      </c>
      <c r="I48" s="16">
        <v>0.5</v>
      </c>
      <c r="J48" s="3">
        <v>45697</v>
      </c>
    </row>
    <row r="49" spans="1:10">
      <c r="A49" s="31"/>
      <c r="B49" s="26" t="s">
        <v>16</v>
      </c>
      <c r="C49" s="27">
        <v>5</v>
      </c>
      <c r="D49" s="30"/>
      <c r="E49" s="28" t="s">
        <v>35</v>
      </c>
      <c r="G49">
        <v>47</v>
      </c>
      <c r="H49" s="10" t="s">
        <v>70</v>
      </c>
      <c r="I49" s="2">
        <v>0.5</v>
      </c>
      <c r="J49" s="3">
        <v>45885</v>
      </c>
    </row>
    <row r="50" spans="1:10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35</v>
      </c>
      <c r="G50">
        <v>48</v>
      </c>
      <c r="H50" s="10" t="s">
        <v>45</v>
      </c>
      <c r="I50" s="16">
        <v>0.11</v>
      </c>
      <c r="J50" s="3">
        <v>45140</v>
      </c>
    </row>
    <row r="51" spans="1:10">
      <c r="A51" s="25">
        <v>45507</v>
      </c>
      <c r="B51" s="26" t="s">
        <v>16</v>
      </c>
      <c r="C51" s="27">
        <v>14</v>
      </c>
      <c r="D51" s="21">
        <f>SUM(C3:C52)</f>
        <v>-1756.27</v>
      </c>
      <c r="E51" s="28" t="s">
        <v>35</v>
      </c>
      <c r="G51">
        <v>49</v>
      </c>
      <c r="H51" s="10" t="s">
        <v>26</v>
      </c>
      <c r="I51" s="16">
        <v>0.1</v>
      </c>
      <c r="J51" s="3">
        <v>44213</v>
      </c>
    </row>
    <row r="52" spans="1:10">
      <c r="A52" s="31"/>
      <c r="B52" s="26" t="s">
        <v>27</v>
      </c>
      <c r="C52" s="27">
        <v>86</v>
      </c>
      <c r="D52" s="30"/>
      <c r="E52" s="28" t="s">
        <v>71</v>
      </c>
    </row>
    <row r="53" spans="1:10">
      <c r="A53" s="25">
        <v>45508</v>
      </c>
      <c r="B53" s="26" t="s">
        <v>16</v>
      </c>
      <c r="C53" s="27">
        <v>9</v>
      </c>
      <c r="D53" s="21">
        <f>SUM(C3:C54)</f>
        <v>-1737.27</v>
      </c>
      <c r="E53" s="28" t="s">
        <v>35</v>
      </c>
    </row>
    <row r="54" spans="1:10">
      <c r="A54" s="31"/>
      <c r="B54" s="26" t="s">
        <v>21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72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21</v>
      </c>
      <c r="C57" s="27">
        <v>40</v>
      </c>
      <c r="D57" s="20">
        <f>SUM(C3:C57)</f>
        <v>-1697.27</v>
      </c>
      <c r="E57" s="28"/>
    </row>
    <row r="58" spans="1:10">
      <c r="A58" s="25">
        <v>45525</v>
      </c>
      <c r="B58" s="33" t="s">
        <v>16</v>
      </c>
      <c r="C58" s="27">
        <f>6+5+5+5+6+5+5+5+30</f>
        <v>72</v>
      </c>
      <c r="D58" s="21">
        <f>SUM(C3:C58)</f>
        <v>-1625.27</v>
      </c>
      <c r="E58" s="28" t="s">
        <v>35</v>
      </c>
    </row>
    <row r="59" spans="1:10">
      <c r="A59" s="25">
        <v>45525</v>
      </c>
      <c r="B59" s="33" t="s">
        <v>21</v>
      </c>
      <c r="C59" s="27">
        <v>6</v>
      </c>
      <c r="D59" s="21">
        <f>SUM(C3:C59)</f>
        <v>-1619.27</v>
      </c>
      <c r="E59" s="28"/>
    </row>
    <row r="60" spans="1:10">
      <c r="A60" s="25">
        <v>45549</v>
      </c>
      <c r="B60" s="33" t="s">
        <v>16</v>
      </c>
      <c r="C60" s="27">
        <v>30</v>
      </c>
      <c r="D60" s="21">
        <f>SUM(C3:C61)</f>
        <v>-1569.27</v>
      </c>
      <c r="E60" s="28" t="s">
        <v>35</v>
      </c>
    </row>
    <row r="61" spans="1:10">
      <c r="A61" s="29"/>
      <c r="B61" s="33" t="s">
        <v>21</v>
      </c>
      <c r="C61" s="27">
        <v>20</v>
      </c>
      <c r="D61" s="30"/>
      <c r="E61" s="28"/>
    </row>
    <row r="62" spans="1:10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16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41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/>
    </row>
    <row r="66" spans="1:5">
      <c r="A66" s="25">
        <v>45584</v>
      </c>
      <c r="B66" s="33" t="s">
        <v>16</v>
      </c>
      <c r="C66" s="27">
        <v>30</v>
      </c>
      <c r="D66" s="21">
        <f>SUM(C3:C66)</f>
        <v>-1456.27</v>
      </c>
      <c r="E66" s="28" t="s">
        <v>35</v>
      </c>
    </row>
    <row r="67" spans="1:5">
      <c r="A67" s="25">
        <v>45584</v>
      </c>
      <c r="B67" s="33" t="s">
        <v>21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16</v>
      </c>
      <c r="C68" s="27">
        <v>60</v>
      </c>
      <c r="D68" s="21">
        <f>SUM(C3:C68)</f>
        <v>-1389.27</v>
      </c>
      <c r="E68" s="28" t="s">
        <v>73</v>
      </c>
    </row>
    <row r="69" spans="1:5">
      <c r="A69" s="25">
        <v>45597</v>
      </c>
      <c r="B69" s="33" t="s">
        <v>21</v>
      </c>
      <c r="C69" s="27">
        <v>5</v>
      </c>
      <c r="D69" s="21">
        <f>SUM(C3:C69)</f>
        <v>-1384.27</v>
      </c>
      <c r="E69" s="28" t="s">
        <v>35</v>
      </c>
    </row>
    <row r="70" spans="1:5">
      <c r="A70" s="25">
        <v>45598</v>
      </c>
      <c r="B70" s="33" t="s">
        <v>16</v>
      </c>
      <c r="C70" s="27">
        <v>5</v>
      </c>
      <c r="D70" s="21">
        <f>SUM(C3:C70)</f>
        <v>-1379.27</v>
      </c>
      <c r="E70" s="28" t="s">
        <v>35</v>
      </c>
    </row>
    <row r="71" spans="1:5">
      <c r="A71" s="25">
        <v>45612</v>
      </c>
      <c r="B71" s="33" t="s">
        <v>21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16</v>
      </c>
      <c r="C72" s="27">
        <v>15</v>
      </c>
      <c r="D72" s="21">
        <f>SUM(C3:C72)</f>
        <v>-1359.27</v>
      </c>
      <c r="E72" s="28" t="s">
        <v>35</v>
      </c>
    </row>
    <row r="73" spans="1:5">
      <c r="A73" s="17">
        <v>45634</v>
      </c>
      <c r="B73" s="33" t="s">
        <v>60</v>
      </c>
      <c r="C73" s="27">
        <v>5</v>
      </c>
      <c r="D73" s="21">
        <f>SUM(C3:C74)</f>
        <v>-1344.27</v>
      </c>
      <c r="E73" s="28" t="s">
        <v>35</v>
      </c>
    </row>
    <row r="74" spans="1:5">
      <c r="A74" s="17"/>
      <c r="B74" s="33" t="s">
        <v>34</v>
      </c>
      <c r="C74" s="27">
        <v>10</v>
      </c>
      <c r="D74" s="30"/>
      <c r="E74" s="28"/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21</v>
      </c>
      <c r="C76" s="27">
        <v>30</v>
      </c>
      <c r="D76" s="21">
        <f>SUM(C3:C76)</f>
        <v>-1304.27</v>
      </c>
      <c r="E76" s="28"/>
    </row>
    <row r="77" spans="1:5">
      <c r="A77" s="25">
        <v>45686</v>
      </c>
      <c r="B77" s="33" t="s">
        <v>16</v>
      </c>
      <c r="C77" s="27">
        <v>9</v>
      </c>
      <c r="D77" s="21">
        <f>SUM(C3:C77)</f>
        <v>-1295.27</v>
      </c>
      <c r="E77" s="28" t="s">
        <v>35</v>
      </c>
    </row>
    <row r="78" spans="1:5">
      <c r="A78" s="25">
        <v>45697</v>
      </c>
      <c r="B78" s="33" t="s">
        <v>69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68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56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52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56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30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57</v>
      </c>
      <c r="C87" s="27">
        <v>6</v>
      </c>
      <c r="D87" s="21">
        <f>SUM(C3:C87)</f>
        <v>-1237.97</v>
      </c>
      <c r="E87" s="28"/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35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/>
    </row>
    <row r="91" spans="1:5">
      <c r="A91" s="25">
        <v>45881</v>
      </c>
      <c r="B91" s="33" t="s">
        <v>16</v>
      </c>
      <c r="C91" s="27">
        <v>5</v>
      </c>
      <c r="D91" s="21">
        <f>SUM(C3:C91)</f>
        <v>-1201.96</v>
      </c>
      <c r="E91" s="34" t="s">
        <v>35</v>
      </c>
    </row>
    <row r="92" spans="1:5">
      <c r="A92" s="17">
        <v>45885</v>
      </c>
      <c r="B92" s="33" t="s">
        <v>70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62</v>
      </c>
      <c r="C93" s="27">
        <v>6</v>
      </c>
      <c r="D93" s="30"/>
      <c r="E93" s="34"/>
    </row>
    <row r="94" spans="1:5">
      <c r="A94" s="17"/>
      <c r="B94" s="33" t="s">
        <v>56</v>
      </c>
      <c r="C94" s="27">
        <v>4</v>
      </c>
      <c r="D94" s="30"/>
      <c r="E94" s="34"/>
    </row>
    <row r="95" spans="1:5">
      <c r="A95" s="25">
        <v>45886</v>
      </c>
      <c r="B95" s="33" t="s">
        <v>16</v>
      </c>
      <c r="C95" s="27">
        <v>5</v>
      </c>
      <c r="D95" s="21">
        <f>SUM(C3:C95)</f>
        <v>-1186.46</v>
      </c>
      <c r="E95" s="34" t="s">
        <v>35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63</v>
      </c>
      <c r="C100" s="27">
        <v>2</v>
      </c>
      <c r="D100" s="30"/>
      <c r="E100" s="34"/>
    </row>
    <row r="101" spans="1:5">
      <c r="A101" s="31"/>
      <c r="B101" s="33" t="s">
        <v>30</v>
      </c>
      <c r="C101" s="27">
        <v>2</v>
      </c>
      <c r="D101" s="30"/>
      <c r="E101" s="34"/>
    </row>
    <row r="102" spans="1:5">
      <c r="A102" s="31"/>
      <c r="B102" s="33" t="s">
        <v>67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74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35</v>
      </c>
    </row>
    <row r="105" spans="1:5">
      <c r="A105" s="25">
        <v>45925</v>
      </c>
      <c r="B105" s="33" t="s">
        <v>30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30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63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/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30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/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/>
    </row>
    <row r="115" spans="1:5">
      <c r="A115" s="25">
        <v>45976</v>
      </c>
      <c r="B115" s="33" t="s">
        <v>65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/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/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30</v>
      </c>
      <c r="C119" s="27">
        <v>16</v>
      </c>
      <c r="D119" s="21">
        <f>SUM(C3:C119)</f>
        <v>-1045.18</v>
      </c>
      <c r="E119" s="34"/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/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/>
    </row>
    <row r="124" spans="1:5">
      <c r="A124" s="31"/>
      <c r="B124" s="33" t="s">
        <v>30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16</v>
      </c>
      <c r="C125" s="27">
        <v>5</v>
      </c>
      <c r="D125" s="21">
        <f>SUM(C3:C125)</f>
        <v>-953.18</v>
      </c>
      <c r="E125" s="34" t="s">
        <v>35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/>
    </row>
    <row r="127" spans="1:5">
      <c r="A127" s="25">
        <v>46057</v>
      </c>
      <c r="B127" s="33" t="s">
        <v>16</v>
      </c>
      <c r="C127" s="27">
        <v>5</v>
      </c>
      <c r="D127" s="21">
        <f>SUM(C3:C127)</f>
        <v>-912.18</v>
      </c>
      <c r="E127" s="34" t="s">
        <v>35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/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/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/>
    </row>
    <row r="132" spans="1:5">
      <c r="A132" s="31"/>
      <c r="B132" s="33" t="s">
        <v>49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28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43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16</v>
      </c>
      <c r="C136" s="27">
        <v>25</v>
      </c>
      <c r="D136" s="21">
        <f>SUM(C3:C136)</f>
        <v>-736.36</v>
      </c>
      <c r="E136" s="34" t="s">
        <v>35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16</v>
      </c>
      <c r="C138" s="27">
        <v>70</v>
      </c>
      <c r="D138" s="21">
        <f>SUM(C3:C138)</f>
        <v>-656.36</v>
      </c>
      <c r="E138" s="34" t="s">
        <v>35</v>
      </c>
    </row>
    <row r="139" spans="1:5">
      <c r="A139" s="25">
        <v>46130</v>
      </c>
      <c r="B139" s="33" t="s">
        <v>43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75</v>
      </c>
    </row>
    <row r="141" spans="1:5">
      <c r="A141" s="25">
        <v>46136</v>
      </c>
      <c r="B141" s="33" t="s">
        <v>16</v>
      </c>
      <c r="C141" s="27">
        <v>15</v>
      </c>
      <c r="D141" s="21">
        <f>SUM(C3:C141)</f>
        <v>-3136.15</v>
      </c>
      <c r="E141" s="34" t="s">
        <v>35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28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50</v>
      </c>
      <c r="C145" s="27">
        <v>10</v>
      </c>
      <c r="D145" s="21">
        <f>SUM(C3:C145)</f>
        <v>-3105.15</v>
      </c>
      <c r="E145" s="34"/>
    </row>
    <row r="146" spans="1:5">
      <c r="A146" s="31"/>
      <c r="B146" s="33" t="s">
        <v>43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28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16</v>
      </c>
      <c r="C148" s="27">
        <v>20</v>
      </c>
      <c r="D148" s="21">
        <f>SUM(C3:C148)</f>
        <v>-3059.15</v>
      </c>
      <c r="E148" s="34" t="s">
        <v>35</v>
      </c>
    </row>
    <row r="149" spans="1:5">
      <c r="A149" s="25">
        <v>46160</v>
      </c>
      <c r="B149" s="33" t="s">
        <v>58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16</v>
      </c>
      <c r="C150" s="27">
        <v>30</v>
      </c>
      <c r="D150" s="21">
        <f>SUM(C3:C150)</f>
        <v>-3024.11</v>
      </c>
      <c r="E150" s="34" t="s">
        <v>35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16</v>
      </c>
      <c r="C152" s="27">
        <v>20</v>
      </c>
      <c r="D152" s="21">
        <f>SUM(C3:C152)</f>
        <v>-2994.11</v>
      </c>
      <c r="E152" s="34" t="s">
        <v>35</v>
      </c>
    </row>
    <row r="153" spans="1:5">
      <c r="A153" s="25">
        <v>46193</v>
      </c>
      <c r="B153" s="33" t="s">
        <v>19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16</v>
      </c>
      <c r="C154" s="27">
        <v>10</v>
      </c>
      <c r="D154" s="21">
        <f>SUM(C3:C154)</f>
        <v>-2934.11</v>
      </c>
      <c r="E154" s="34" t="s">
        <v>35</v>
      </c>
    </row>
    <row r="155" spans="1:5">
      <c r="A155" s="25">
        <v>46196</v>
      </c>
      <c r="B155" s="33" t="s">
        <v>28</v>
      </c>
      <c r="C155" s="27">
        <v>25</v>
      </c>
      <c r="D155" s="21">
        <f>SUM(C3:C155)</f>
        <v>-2909.11</v>
      </c>
      <c r="E155" s="34"/>
    </row>
    <row r="156" spans="1:5">
      <c r="A156" s="25">
        <v>46204</v>
      </c>
      <c r="B156" s="33" t="s">
        <v>16</v>
      </c>
      <c r="C156" s="27">
        <v>20</v>
      </c>
      <c r="D156" s="21">
        <f>SUM(C3:C156)</f>
        <v>-2889.11</v>
      </c>
      <c r="E156" s="34" t="s">
        <v>35</v>
      </c>
    </row>
    <row r="157" spans="1:5">
      <c r="A157" s="25">
        <v>46205</v>
      </c>
      <c r="B157" s="33" t="s">
        <v>54</v>
      </c>
      <c r="C157" s="27">
        <v>8</v>
      </c>
      <c r="D157" s="21">
        <f>SUM(C3:C157)</f>
        <v>-2881.11</v>
      </c>
      <c r="E157" s="34"/>
    </row>
    <row r="158" spans="1:5">
      <c r="A158" s="31"/>
      <c r="B158" s="33" t="s">
        <v>19</v>
      </c>
      <c r="C158" s="27">
        <v>240</v>
      </c>
      <c r="D158" s="21">
        <f>SUM(C3:C158)</f>
        <v>-2641.11</v>
      </c>
      <c r="E158" s="34"/>
    </row>
    <row r="159" spans="1:5">
      <c r="A159" s="31"/>
      <c r="B159" s="33" t="s">
        <v>16</v>
      </c>
      <c r="C159" s="27">
        <v>10</v>
      </c>
      <c r="D159" s="21">
        <f>SUM(C3:C159)</f>
        <v>-2631.11</v>
      </c>
      <c r="E159" s="34" t="s">
        <v>35</v>
      </c>
    </row>
    <row r="160" spans="1:5">
      <c r="A160" s="25">
        <v>46206</v>
      </c>
      <c r="B160" s="33" t="s">
        <v>28</v>
      </c>
      <c r="C160" s="27">
        <v>5</v>
      </c>
      <c r="D160" s="21">
        <f>SUM(C3:C160)</f>
        <v>-2626.11</v>
      </c>
      <c r="E160" s="34" t="s">
        <v>35</v>
      </c>
    </row>
    <row r="161" spans="1:5">
      <c r="A161" s="25">
        <v>46210</v>
      </c>
      <c r="B161" s="33" t="s">
        <v>25</v>
      </c>
      <c r="C161" s="27">
        <v>33</v>
      </c>
      <c r="D161" s="21">
        <f>SUM(C3:C161)</f>
        <v>-2593.11</v>
      </c>
      <c r="E161" s="34"/>
    </row>
    <row r="162" spans="1:5">
      <c r="A162" s="37">
        <v>46219</v>
      </c>
      <c r="B162" s="38" t="s">
        <v>13</v>
      </c>
      <c r="C162" s="39">
        <v>121.04</v>
      </c>
      <c r="D162" s="21">
        <f>SUM(C3:C162)</f>
        <v>-2472.07</v>
      </c>
      <c r="E162" s="40"/>
    </row>
    <row r="163" ht="14.25" spans="1:5">
      <c r="A163" s="41"/>
      <c r="B163" s="42"/>
      <c r="C163" s="43"/>
      <c r="D163" s="43"/>
      <c r="E163" s="44"/>
    </row>
    <row r="164" spans="1:5">
      <c r="A164" s="45" t="s">
        <v>76</v>
      </c>
      <c r="B164" s="45"/>
      <c r="C164" s="45"/>
      <c r="D164" s="45"/>
      <c r="E164" s="45"/>
    </row>
  </sheetData>
  <mergeCells count="42">
    <mergeCell ref="A1:E1"/>
    <mergeCell ref="G1:K1"/>
    <mergeCell ref="A164:E164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{0516d668-bde6-4820-9c21-bd9bfe863a0b}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{f9af9851-3b3f-4134-b8de-49494a92d3d3}</x14:id>
        </ext>
      </extLst>
    </cfRule>
  </conditionalFormatting>
  <conditionalFormatting sqref="D1:D18 D20:D23 D25:D26 D28:D42 D44:D45 D47:D48 D50:D51 D53 D55 D57:D60 D62:D64 D66:D73 D75:D92 D95:D98 D103:D163 D165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{d8c93784-4d59-402c-bd64-0ae50c373c64}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{c6782148-85aa-4485-ac94-2bb6567ca129}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{1f04ca4b-f0e5-4ce8-82e6-d45a7293206e}</x14:id>
        </ext>
      </extLst>
    </cfRule>
  </conditionalFormatting>
  <conditionalFormatting sqref="I1:I18 I28:I1048576 I20:I24 I2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{580211c7-d112-48e0-b9ff-a7e120b3cd1e}</x14:id>
        </ext>
      </extLst>
    </cfRule>
  </conditionalFormatting>
  <conditionalFormatting sqref="I1:I9 I20:I24 I11:I18 I28:I1048576 I2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{5a4de853-09f0-4ccd-ab01-c5117ab4fa1e}</x14:id>
        </ext>
      </extLst>
    </cfRule>
  </conditionalFormatting>
  <conditionalFormatting sqref="I1:I9 I20:I23 I11:I18 I28:I1048576 I26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{a7117f6a-d99b-4cb0-9716-f960ad6ce4cc}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{47aea96c-dd5e-4001-99bd-35c4d627f457}</x14:id>
        </ext>
      </extLst>
    </cfRule>
  </conditionalFormatting>
  <conditionalFormatting sqref="I2:I4 I20:I23 I28:I38 I26 I11:I18 I9 I6:I7 I40:I1048576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{cf5ce95e-bb0a-4cbd-9e21-64ebd53e1e9c}</x14:id>
        </ext>
      </extLst>
    </cfRule>
  </conditionalFormatting>
  <conditionalFormatting sqref="I2:I4 I20:I23 I28:I38 I9 I26 I6:I7 I11:I16 I40:I1048576 I18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{379edc11-7862-47d4-9e53-f459d953d005}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4 I43:I48 I50:I51 I6:I7 I18 I9 I20:I23 I26 I37:I38 I29 I32:I34 I40:I41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{b940c2a0-92a9-4e3b-a50c-1071151a728e}</x14:id>
        </ext>
      </extLst>
    </cfRule>
  </conditionalFormatting>
  <conditionalFormatting sqref="I18 I3:I4 I43:I48 I50:I51 I6:I7 I12:I14 I9 I20:I23 I37:I38 I29 I32:I34 I40:I41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{401edcdf-43ae-4b44-99c5-0e95810b949c}</x14:id>
        </ext>
      </extLst>
    </cfRule>
  </conditionalFormatting>
  <conditionalFormatting sqref="I16 I3:I4 I40:I41 I43:I48 I6:I7 I12:I14 I9 I20:I23 I26 I18 I50:I51 I29 I32:I34 I37:I38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{523fecbb-3adb-4d79-a75b-8b4a50bc759a}</x14:id>
        </ext>
      </extLst>
    </cfRule>
  </conditionalFormatting>
  <conditionalFormatting sqref="I11:I14 I3:I4 I32:I35 I37:I38 I6:I7 I20:I23 I9 I16 I26 I18 I40:I41 I29:I30 I43:I51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{32087ca6-3254-40a7-8cc5-b988d1d7a0c2}</x14:id>
        </ext>
      </extLst>
    </cfRule>
  </conditionalFormatting>
  <conditionalFormatting sqref="I20:I23 I3:I4 I43:I48 I29:I30 I6:I7 I16 I9 I11:I14 I26 I18 I50:I51 I32:I34 I37:I38 I40:I4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{dc69e5a5-d61c-4a5e-82bd-46b575a4d8cb}</x14:id>
        </ext>
      </extLst>
    </cfRule>
  </conditionalFormatting>
  <conditionalFormatting sqref="I18 I20:I23 I3:I4 I32:I38 I40:I51 I6:I7 I26 I9 I11:I16 I28:I30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{42579923-6e79-4eea-92bf-7b4dfaf2fb1c}</x14:id>
        </ext>
      </extLst>
    </cfRule>
  </conditionalFormatting>
  <conditionalFormatting sqref="I11:I16 I3:I4 I29:I30 I32:I38 I6:I7 I20:I23 I9 I18 I26 I40:I51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{7052e990-7149-4d2c-bc26-fe0346d51423}</x14:id>
        </ext>
      </extLst>
    </cfRule>
  </conditionalFormatting>
  <conditionalFormatting sqref="I11:I18 I3:I4 I28:I30 I40:I51 I6:I7 I20:I23 I9 I26 I32:I38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{6b05bec6-0fe7-4451-8778-669f759a2cba}</x14:id>
        </ext>
      </extLst>
    </cfRule>
  </conditionalFormatting>
  <conditionalFormatting sqref="I11:I18 I20:I23 I3:I7 I9 I28:I30 I32:I51 I2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{a3ec90ee-0edb-4044-a3ca-e7b0fbb2eb3f}</x14:id>
        </ext>
      </extLst>
    </cfRule>
  </conditionalFormatting>
  <conditionalFormatting sqref="I26 I20:I23 I9 I3:I7 I28:I30 I32:I38 I40:I51 I11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{8e0cbaf6-6166-4117-96ff-bf728ed8445d}</x14:id>
        </ext>
      </extLst>
    </cfRule>
  </conditionalFormatting>
  <conditionalFormatting sqref="I26 I32:I51 I3:I24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{2b82bf50-89c6-4846-b5dd-7ef49ea29902}</x14:id>
        </ext>
      </extLst>
    </cfRule>
  </conditionalFormatting>
  <pageMargins left="0.75" right="0.75" top="1" bottom="1" header="0.5" footer="0.5"/>
  <headerFooter/>
  <ignoredErrors>
    <ignoredError sqref="E40:E41 E45 E48:E49 E34 E36:E37 D3 D8:D108 E8:E14 E16:E17 E19:E20 E22:E23 E25:E27 E29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16d668-bde6-4820-9c21-bd9bfe863a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f9af9851-3b3f-4134-b8de-49494a92d3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d8c93784-4d59-402c-bd64-0ae50c373c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c6782148-85aa-4485-ac94-2bb6567ca1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1f04ca4b-f0e5-4ce8-82e6-d45a729320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580211c7-d112-48e0-b9ff-a7e120b3c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I28:I1048576 I20:I24 I26</xm:sqref>
        </x14:conditionalFormatting>
        <x14:conditionalFormatting xmlns:xm="http://schemas.microsoft.com/office/excel/2006/main">
          <x14:cfRule type="dataBar" id="{5a4de853-09f0-4ccd-ab01-c5117ab4f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I20:I24 I11:I18 I28:I1048576 I26</xm:sqref>
        </x14:conditionalFormatting>
        <x14:conditionalFormatting xmlns:xm="http://schemas.microsoft.com/office/excel/2006/main">
          <x14:cfRule type="dataBar" id="{a7117f6a-d99b-4cb0-9716-f960ad6ce4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I20:I23 I11:I18 I28:I1048576 I26</xm:sqref>
        </x14:conditionalFormatting>
        <x14:conditionalFormatting xmlns:xm="http://schemas.microsoft.com/office/excel/2006/main">
          <x14:cfRule type="dataBar" id="{47aea96c-dd5e-4001-99bd-35c4d627f4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cf5ce95e-bb0a-4cbd-9e21-64ebd53e1e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I20:I23 I28:I38 I26 I11:I18 I9 I6:I7 I40:I1048576</xm:sqref>
        </x14:conditionalFormatting>
        <x14:conditionalFormatting xmlns:xm="http://schemas.microsoft.com/office/excel/2006/main">
          <x14:cfRule type="dataBar" id="{379edc11-7862-47d4-9e53-f459d953d0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I20:I23 I28:I38 I9 I26 I6:I7 I11:I16 I40:I1048576 I18</xm:sqref>
        </x14:conditionalFormatting>
        <x14:conditionalFormatting xmlns:xm="http://schemas.microsoft.com/office/excel/2006/main">
          <x14:cfRule type="dataBar" id="{b940c2a0-92a9-4e3b-a50c-1071151a72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I43:I48 I50:I51 I6:I7 I18 I9 I20:I23 I26 I37:I38 I29 I32:I34 I40:I41</xm:sqref>
        </x14:conditionalFormatting>
        <x14:conditionalFormatting xmlns:xm="http://schemas.microsoft.com/office/excel/2006/main">
          <x14:cfRule type="dataBar" id="{401edcdf-43ae-4b44-99c5-0e95810b94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I3:I4 I43:I48 I50:I51 I6:I7 I12:I14 I9 I20:I23 I37:I38 I29 I32:I34 I40:I41</xm:sqref>
        </x14:conditionalFormatting>
        <x14:conditionalFormatting xmlns:xm="http://schemas.microsoft.com/office/excel/2006/main">
          <x14:cfRule type="dataBar" id="{523fecbb-3adb-4d79-a75b-8b4a50bc75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I40:I41 I43:I48 I6:I7 I12:I14 I9 I20:I23 I26 I18 I50:I51 I29 I32:I34 I37:I38</xm:sqref>
        </x14:conditionalFormatting>
        <x14:conditionalFormatting xmlns:xm="http://schemas.microsoft.com/office/excel/2006/main">
          <x14:cfRule type="dataBar" id="{32087ca6-3254-40a7-8cc5-b988d1d7a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I32:I35 I37:I38 I6:I7 I20:I23 I9 I16 I26 I18 I40:I41 I29:I30 I43:I51</xm:sqref>
        </x14:conditionalFormatting>
        <x14:conditionalFormatting xmlns:xm="http://schemas.microsoft.com/office/excel/2006/main">
          <x14:cfRule type="dataBar" id="{dc69e5a5-d61c-4a5e-82bd-46b575a4d8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I3:I4 I43:I48 I29:I30 I6:I7 I16 I9 I11:I14 I26 I18 I50:I51 I32:I34 I37:I38 I40:I41</xm:sqref>
        </x14:conditionalFormatting>
        <x14:conditionalFormatting xmlns:xm="http://schemas.microsoft.com/office/excel/2006/main">
          <x14:cfRule type="dataBar" id="{42579923-6e79-4eea-92bf-7b4dfaf2fb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I3:I4 I32:I38 I40:I51 I6:I7 I26 I9 I11:I16 I28:I30</xm:sqref>
        </x14:conditionalFormatting>
        <x14:conditionalFormatting xmlns:xm="http://schemas.microsoft.com/office/excel/2006/main">
          <x14:cfRule type="dataBar" id="{7052e990-7149-4d2c-bc26-fe0346d514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I29:I30 I32:I38 I6:I7 I20:I23 I9 I18 I26 I40:I51</xm:sqref>
        </x14:conditionalFormatting>
        <x14:conditionalFormatting xmlns:xm="http://schemas.microsoft.com/office/excel/2006/main">
          <x14:cfRule type="dataBar" id="{6b05bec6-0fe7-4451-8778-669f759a2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I3:I4 I28:I30 I40:I51 I6:I7 I20:I23 I9 I26 I32:I38</xm:sqref>
        </x14:conditionalFormatting>
        <x14:conditionalFormatting xmlns:xm="http://schemas.microsoft.com/office/excel/2006/main">
          <x14:cfRule type="dataBar" id="{a3ec90ee-0edb-4044-a3ca-e7b0fbb2e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I20:I23 I3:I7 I9 I28:I30 I32:I51 I26</xm:sqref>
        </x14:conditionalFormatting>
        <x14:conditionalFormatting xmlns:xm="http://schemas.microsoft.com/office/excel/2006/main">
          <x14:cfRule type="dataBar" id="{8e0cbaf6-6166-4117-96ff-bf728ed844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I9 I3:I7 I28:I30 I32:I38 I40:I51 I11:I18</xm:sqref>
        </x14:conditionalFormatting>
        <x14:conditionalFormatting xmlns:xm="http://schemas.microsoft.com/office/excel/2006/main">
          <x14:cfRule type="dataBar" id="{2b82bf50-89c6-4846-b5dd-7ef49ea299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I32:I51 I3:I24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2026-07-16T15:38:19Z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