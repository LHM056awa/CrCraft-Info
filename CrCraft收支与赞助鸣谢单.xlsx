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<sst xmlns="http://schemas.openxmlformats.org/spreadsheetml/2006/main" count="329" uniqueCount="117">
  <si>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</si>
  <si>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</si>
  <si>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</si>
  <si>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</si>
  <si>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</si>
  <si>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</si>
  <si>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</si>
  <si>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</si>
  <si>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</si>
  <si>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</si>
  <si>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</si>
  <si>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</si>
  <si>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</si>
  <si>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AL_1S_2</t>
  </si>
  <si>
    <t>MoFangYa_</t>
  </si>
  <si>
    <t>Celi2357</t>
  </si>
  <si>
    <t>BYyihan</t>
  </si>
  <si>
    <t>KIRINIT</t>
  </si>
  <si>
    <t>↑1</t>
  </si>
  <si>
    <t>Mtve</t>
  </si>
  <si>
    <t>qmzp_</t>
  </si>
  <si>
    <t>↓1</t>
  </si>
  <si>
    <t>zkiftie</t>
  </si>
  <si>
    <t>Disha_UUU2</t>
  </si>
  <si>
    <t>_LoveSelf_</t>
  </si>
  <si>
    <t>dog</t>
  </si>
  <si>
    <t>NGZI</t>
  </si>
  <si>
    <t>Guramchik</t>
  </si>
  <si>
    <t>Press_on</t>
  </si>
  <si>
    <t>用于购买内存条</t>
  </si>
  <si>
    <t>partyking1145</t>
  </si>
  <si>
    <t>购买内存条</t>
  </si>
  <si>
    <t>xiaoshenjin233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</si>
  <si>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</si>
  <si>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</si>
  <si>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</si>
  <si>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</si>
  <si>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</si>
  <si>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</si>
  <si>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</si>
  <si>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</si>
  <si>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</si>
  <si>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</si>
  <si>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</si>
  <si>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</si>
  <si>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</si>
  <si>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</si>
  <si>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</si>
  <si>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</si>
  <si>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</si>
  <si>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</si>
  <si>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</si>
  <si>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</si>
  <si>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</si>
  <si>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</si>
  <si>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</si>
  <si>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</si>
  <si>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red_chipi</t>
  </si>
  <si>
    <t>↑24</t>
  </si>
  <si>
    <t>5下界合金锭</t>
  </si>
  <si>
    <t>Goocheu_fox</t>
  </si>
  <si>
    <t>Cr_Dragon</t>
  </si>
  <si>
    <t>拍卖账号</t>
  </si>
  <si>
    <t>XL12</t>
  </si>
  <si>
    <t>鞘翅、TP、电费、羊毛、村民、TNT</t>
  </si>
  <si>
    <t>Xiaoyingawa</t>
  </si>
  <si>
    <t>电费、经验</t>
  </si>
  <si>
    <t>hanfengzunzhe</t>
  </si>
  <si>
    <t>书架、紫珀块</t>
  </si>
  <si>
    <t>Onion520</t>
  </si>
  <si>
    <t>电费</t>
  </si>
  <si>
    <t>lhl</t>
  </si>
  <si>
    <t>10书架</t>
  </si>
  <si>
    <t>xhf</t>
  </si>
  <si>
    <t>YuSaMa1145</t>
  </si>
  <si>
    <t>拍卖账号等</t>
  </si>
  <si>
    <t>Mo_Xuan_Yu</t>
  </si>
  <si>
    <t>前哨战坐标等</t>
  </si>
  <si>
    <t>xiaomin</t>
  </si>
  <si>
    <t>主板、CPU、电源、机械硬盘</t>
  </si>
  <si>
    <t>海绵、电费、鞘翅、遗物</t>
  </si>
  <si>
    <t>A1TanJZ</t>
  </si>
  <si>
    <t>村民</t>
  </si>
  <si>
    <t>4不详宝库</t>
  </si>
  <si>
    <t>2村民蛋</t>
  </si>
  <si>
    <t>littlefish1688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</si>
  <si>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</si>
  <si>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</si>
  <si>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</si>
  <si>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</si>
  <si>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</si>
  <si>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</si>
  <si>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</si>
  <si>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</si>
  <si>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</si>
  <si>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</si>
  <si>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</si>
  <si>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</si>
  <si>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</si>
  <si>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</si>
  <si>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</si>
  <si>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</si>
  <si>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</si>
  <si>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</si>
  <si>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</si>
  <si>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</si>
  <si>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</si>
  <si>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</si>
  <si>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</si>
  <si>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</si>
  <si>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</si>
  <si>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</si>
  <si>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</si>
  <si>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</si>
  <si>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</si>
  <si>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钻石胸甲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</si>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</sst>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63"/>
  <sheetViews>
    <sheetView tabSelected="1" workbookViewId="0">
      <pane ySplit="2" topLeftCell="A117" activePane="bottomLeft" state="frozen"/>
      <selection/>
      <selection pane="bottomLeft" activeCell="C162" sqref="C162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SUM(C44,C49,C51:C51,C53,C58:C58,C60:C60,C63,C66:C66,C68:C68,C70,C72:C72,C77,C91,C95,C125,C127,C136,C138,C141,C148,C150,C152,C154,C156,C159)</f>
        <v>537</v>
      </c>
      <c r="J3" s="3">
        <v>46204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SUM(C10,C15,C18:C18,C21:C21,C24,C31:C31,C36,C43,C88,C90,C114)</f>
        <v>504.2</v>
      </c>
      <c r="J4" s="3">
        <v>45975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" t="s">
        <v>17</v>
      </c>
      <c r="I5" s="2">
        <f>SUM(C110:C110,C113,C116,C118,C129,C134,C142,C151,C153,C158)</f>
        <v>500</v>
      </c>
      <c r="J5" s="3">
        <v>46205</v>
      </c>
      <c r="K5" t="s">
        <v>18</v>
      </c>
    </row>
    <row r="6" spans="1:11">
      <c r="A6" s="12"/>
      <c r="B6" s="8" t="s">
        <v>19</v>
      </c>
      <c r="C6" s="13">
        <v>3</v>
      </c>
      <c r="D6" s="14"/>
      <c r="E6" s="9"/>
      <c r="G6" s="15">
        <v>4</v>
      </c>
      <c r="H6" s="10" t="s">
        <v>20</v>
      </c>
      <c r="I6" s="16">
        <f>SUM(C28:C28,C32:C32,C34:C34,C37,C39,C42:C42,C54,C57,C59,C61,C67,C69,C71,C76)</f>
        <v>285.96</v>
      </c>
      <c r="J6" s="3">
        <v>45654</v>
      </c>
      <c r="K6" t="s">
        <v>21</v>
      </c>
    </row>
    <row r="7" spans="1:11">
      <c r="A7" s="12"/>
      <c r="B7" s="8" t="s">
        <v>22</v>
      </c>
      <c r="C7" s="13">
        <v>1.28</v>
      </c>
      <c r="D7" s="14"/>
      <c r="E7" s="9"/>
      <c r="G7" s="15">
        <v>5</v>
      </c>
      <c r="H7" s="10" t="s">
        <v>23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24</v>
      </c>
      <c r="C8" s="13">
        <v>9</v>
      </c>
      <c r="D8" s="14">
        <f>SUM(C3:C8)</f>
        <v>24.83</v>
      </c>
      <c r="E8" s="9"/>
      <c r="G8" s="15">
        <v>6</v>
      </c>
      <c r="H8" s="10" t="s">
        <v>25</v>
      </c>
      <c r="I8" s="2">
        <f>SUM(C121,C123,C126,C128,C131,C161)</f>
        <v>228</v>
      </c>
      <c r="J8" s="3">
        <v>46210</v>
      </c>
    </row>
    <row r="9" spans="1:11">
      <c r="A9" s="17">
        <v>44213</v>
      </c>
      <c r="B9" s="8" t="s">
        <v>26</v>
      </c>
      <c r="C9" s="13">
        <v>0.1</v>
      </c>
      <c r="D9" s="14">
        <f>SUM(C3:C9)</f>
        <v>24.93</v>
      </c>
      <c r="E9" s="9"/>
      <c r="G9" s="15">
        <v>7</v>
      </c>
      <c r="H9" s="10" t="s">
        <v>27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15</v>
      </c>
      <c r="C10" s="13">
        <v>39</v>
      </c>
      <c r="D10" s="14">
        <f>SUM(C3:C10)</f>
        <v>63.93</v>
      </c>
      <c r="E10" s="9"/>
      <c r="G10" s="15">
        <v>8</v>
      </c>
      <c r="H10" s="1" t="s">
        <v>28</v>
      </c>
      <c r="I10" s="2">
        <f>SUM(C133,C143,C147,C155,C160)</f>
        <v>68.32</v>
      </c>
      <c r="J10" s="3">
        <v>46206</v>
      </c>
    </row>
    <row r="11" spans="1:11">
      <c r="A11" s="17">
        <v>44781</v>
      </c>
      <c r="B11" s="8" t="s">
        <v>23</v>
      </c>
      <c r="C11" s="13">
        <v>130</v>
      </c>
      <c r="D11" s="14">
        <f>SUM(C3:C11)</f>
        <v>193.93</v>
      </c>
      <c r="E11" s="9" t="s">
        <v>29</v>
      </c>
      <c r="G11" s="15">
        <v>9</v>
      </c>
      <c r="H11" s="10" t="s">
        <v>30</v>
      </c>
      <c r="I11" s="2">
        <f>SUM(C86,C101,C105,C107,C112,C119,C124)</f>
        <v>52.01</v>
      </c>
      <c r="J11" s="3">
        <v>46047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31</v>
      </c>
      <c r="G12" s="15">
        <v>10</v>
      </c>
      <c r="H12" s="10" t="s">
        <v>24</v>
      </c>
      <c r="I12" s="16">
        <f>SUM(C8:C8,C47,C45,C50:C50)</f>
        <v>49</v>
      </c>
      <c r="J12" s="3">
        <v>45505</v>
      </c>
    </row>
    <row r="13" spans="1:11">
      <c r="A13" s="17">
        <v>44787</v>
      </c>
      <c r="B13" s="8" t="s">
        <v>32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15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23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1">
      <c r="A18" s="17">
        <v>44958</v>
      </c>
      <c r="B18" s="8" t="s">
        <v>15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1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1">
      <c r="A21" s="17">
        <v>45138</v>
      </c>
      <c r="B21" s="8" t="s">
        <v>15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1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1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1">
      <c r="A24" s="17"/>
      <c r="B24" s="8" t="s">
        <v>15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1">
      <c r="A25" s="17">
        <v>45160</v>
      </c>
      <c r="B25" s="8" t="s">
        <v>23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1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56</v>
      </c>
      <c r="G27">
        <v>25</v>
      </c>
      <c r="H27" s="10" t="s">
        <v>57</v>
      </c>
      <c r="I27" s="2">
        <v>8</v>
      </c>
      <c r="J27" s="3">
        <v>46205</v>
      </c>
      <c r="K27" t="s">
        <v>58</v>
      </c>
    </row>
    <row r="28" spans="1:11">
      <c r="A28" s="17">
        <v>45249</v>
      </c>
      <c r="B28" s="8" t="s">
        <v>20</v>
      </c>
      <c r="C28" s="13">
        <v>15.5</v>
      </c>
      <c r="D28" s="14">
        <f>SUM(C3:C28)</f>
        <v>-400.11</v>
      </c>
      <c r="E28" s="9" t="s">
        <v>59</v>
      </c>
      <c r="G28">
        <v>26</v>
      </c>
      <c r="H28" s="10" t="s">
        <v>60</v>
      </c>
      <c r="I28" s="2">
        <v>7.33</v>
      </c>
      <c r="J28" s="3">
        <v>45907</v>
      </c>
      <c r="K28" t="s">
        <v>21</v>
      </c>
    </row>
    <row r="29" spans="1:11">
      <c r="A29" s="17">
        <v>45305</v>
      </c>
      <c r="B29" s="8" t="s">
        <v>23</v>
      </c>
      <c r="C29" s="13">
        <v>50</v>
      </c>
      <c r="D29" s="14">
        <f>SUM(C3:C29)</f>
        <v>-350.11</v>
      </c>
      <c r="E29" s="9"/>
      <c r="G29">
        <v>27</v>
      </c>
      <c r="H29" s="10" t="s">
        <v>61</v>
      </c>
      <c r="I29" s="16">
        <f>SUM(C82,C84,C94)</f>
        <v>6.98</v>
      </c>
      <c r="J29" s="3">
        <v>45861</v>
      </c>
      <c r="K29" t="s">
        <v>21</v>
      </c>
    </row>
    <row r="30" spans="1:11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62</v>
      </c>
      <c r="G30">
        <v>28</v>
      </c>
      <c r="H30" s="10" t="s">
        <v>63</v>
      </c>
      <c r="I30" s="2">
        <v>6</v>
      </c>
      <c r="J30" s="3">
        <v>45868</v>
      </c>
      <c r="K30" t="s">
        <v>21</v>
      </c>
    </row>
    <row r="31" spans="1:11">
      <c r="A31" s="17">
        <v>45341</v>
      </c>
      <c r="B31" s="8" t="s">
        <v>15</v>
      </c>
      <c r="C31" s="13">
        <v>68</v>
      </c>
      <c r="D31" s="14">
        <f>SUM(C3:C31)</f>
        <v>-272.11</v>
      </c>
      <c r="E31" s="9" t="s">
        <v>64</v>
      </c>
      <c r="G31">
        <v>29</v>
      </c>
      <c r="H31" s="10" t="s">
        <v>65</v>
      </c>
      <c r="I31" s="2">
        <v>5.04</v>
      </c>
      <c r="J31" s="3">
        <v>46160</v>
      </c>
      <c r="K31" t="s">
        <v>21</v>
      </c>
    </row>
    <row r="32" spans="1:11">
      <c r="A32" s="17">
        <v>45368</v>
      </c>
      <c r="B32" s="8" t="s">
        <v>20</v>
      </c>
      <c r="C32" s="13">
        <v>33.01</v>
      </c>
      <c r="D32" s="14">
        <f>SUM(C3:C32)</f>
        <v>-239.1</v>
      </c>
      <c r="E32" s="9" t="s">
        <v>66</v>
      </c>
      <c r="G32">
        <v>30</v>
      </c>
      <c r="H32" s="10" t="s">
        <v>32</v>
      </c>
      <c r="I32" s="16">
        <v>5.02</v>
      </c>
      <c r="J32" s="3">
        <v>44787</v>
      </c>
      <c r="K32" t="s">
        <v>21</v>
      </c>
    </row>
    <row r="33" spans="1:11">
      <c r="A33" s="17">
        <v>45387</v>
      </c>
      <c r="B33" s="8" t="s">
        <v>67</v>
      </c>
      <c r="C33" s="13">
        <v>1.38</v>
      </c>
      <c r="D33" s="14">
        <f>SUM(C3:C33)</f>
        <v>-237.72</v>
      </c>
      <c r="E33" s="9" t="s">
        <v>68</v>
      </c>
      <c r="G33">
        <v>31</v>
      </c>
      <c r="H33" s="10" t="s">
        <v>69</v>
      </c>
      <c r="I33" s="16">
        <v>5</v>
      </c>
      <c r="J33" s="3">
        <v>45634</v>
      </c>
      <c r="K33" t="s">
        <v>21</v>
      </c>
    </row>
    <row r="34" spans="1:11">
      <c r="A34" s="17">
        <v>45394</v>
      </c>
      <c r="B34" s="8" t="s">
        <v>20</v>
      </c>
      <c r="C34" s="13">
        <v>16</v>
      </c>
      <c r="D34" s="14">
        <f>SUM(C3:C34)</f>
        <v>-221.72</v>
      </c>
      <c r="E34" s="9" t="s">
        <v>70</v>
      </c>
      <c r="G34">
        <v>32</v>
      </c>
      <c r="H34" s="10" t="s">
        <v>71</v>
      </c>
      <c r="I34" s="16">
        <v>4.15</v>
      </c>
      <c r="J34" s="3">
        <v>45707</v>
      </c>
      <c r="K34" t="s">
        <v>21</v>
      </c>
    </row>
    <row r="35" spans="1:11">
      <c r="A35" s="17">
        <v>45396</v>
      </c>
      <c r="B35" s="8" t="s">
        <v>67</v>
      </c>
      <c r="C35" s="13">
        <v>0.8</v>
      </c>
      <c r="D35" s="14">
        <f>SUM(C3:C35)</f>
        <v>-220.92</v>
      </c>
      <c r="E35" s="9" t="s">
        <v>72</v>
      </c>
      <c r="G35">
        <v>33</v>
      </c>
      <c r="H35" s="10" t="s">
        <v>73</v>
      </c>
      <c r="I35" s="2">
        <v>4</v>
      </c>
      <c r="J35" s="3">
        <v>45885</v>
      </c>
      <c r="K35" t="s">
        <v>21</v>
      </c>
    </row>
    <row r="36" spans="1:11">
      <c r="A36" s="17">
        <v>45403</v>
      </c>
      <c r="B36" s="8" t="s">
        <v>15</v>
      </c>
      <c r="C36" s="13">
        <v>3.2</v>
      </c>
      <c r="D36" s="14">
        <f>SUM(C3:C36)</f>
        <v>-217.72</v>
      </c>
      <c r="E36" s="9"/>
      <c r="G36">
        <v>34</v>
      </c>
      <c r="H36" s="1" t="s">
        <v>74</v>
      </c>
      <c r="I36" s="2">
        <f>SUM(C100,C108)</f>
        <v>4</v>
      </c>
      <c r="J36" s="3">
        <v>45934</v>
      </c>
      <c r="K36" t="s">
        <v>21</v>
      </c>
    </row>
    <row r="37" spans="1:11">
      <c r="A37" s="17">
        <v>45403</v>
      </c>
      <c r="B37" s="8" t="s">
        <v>20</v>
      </c>
      <c r="C37" s="13">
        <v>5</v>
      </c>
      <c r="D37" s="14">
        <f>SUM(C3:C37)</f>
        <v>-212.72</v>
      </c>
      <c r="E37" s="9" t="s">
        <v>70</v>
      </c>
      <c r="G37">
        <v>35</v>
      </c>
      <c r="H37" s="10" t="s">
        <v>19</v>
      </c>
      <c r="I37" s="16">
        <v>3</v>
      </c>
      <c r="J37" s="3" t="s">
        <v>11</v>
      </c>
      <c r="K37" t="s">
        <v>21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75</v>
      </c>
      <c r="G38" s="15">
        <v>36</v>
      </c>
      <c r="H38" s="10" t="s">
        <v>76</v>
      </c>
      <c r="I38" s="16">
        <v>3</v>
      </c>
      <c r="J38" s="3">
        <v>45500</v>
      </c>
      <c r="K38" t="s">
        <v>21</v>
      </c>
    </row>
    <row r="39" spans="1:11">
      <c r="A39" s="17">
        <v>45417</v>
      </c>
      <c r="B39" s="8" t="s">
        <v>20</v>
      </c>
      <c r="C39" s="13">
        <v>11</v>
      </c>
      <c r="D39" s="14">
        <f>SUM(C3:C39)</f>
        <v>-194.72</v>
      </c>
      <c r="E39" s="9" t="s">
        <v>77</v>
      </c>
      <c r="G39" s="15">
        <v>37</v>
      </c>
      <c r="H39" s="10" t="s">
        <v>78</v>
      </c>
      <c r="I39" s="2">
        <v>2.5</v>
      </c>
      <c r="J39" s="3">
        <v>45976</v>
      </c>
      <c r="K39" t="s">
        <v>21</v>
      </c>
    </row>
    <row r="40" spans="1:11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70</v>
      </c>
      <c r="G40" s="15">
        <v>38</v>
      </c>
      <c r="H40" s="10" t="s">
        <v>67</v>
      </c>
      <c r="I40" s="16">
        <f>SUM(C35,C33:C33)</f>
        <v>2.18</v>
      </c>
      <c r="J40" s="3">
        <v>45396</v>
      </c>
      <c r="K40" t="s">
        <v>21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79</v>
      </c>
      <c r="G41">
        <v>39</v>
      </c>
      <c r="H41" s="10" t="s">
        <v>16</v>
      </c>
      <c r="I41" s="16">
        <v>2</v>
      </c>
      <c r="J41" s="3" t="s">
        <v>11</v>
      </c>
      <c r="K41" t="s">
        <v>21</v>
      </c>
    </row>
    <row r="42" spans="1:11">
      <c r="A42" s="17">
        <v>45494</v>
      </c>
      <c r="B42" s="8" t="s">
        <v>20</v>
      </c>
      <c r="C42" s="13">
        <v>82.45</v>
      </c>
      <c r="D42" s="21">
        <f>SUM(C3:C43)</f>
        <v>-1915.27</v>
      </c>
      <c r="E42" s="9" t="s">
        <v>80</v>
      </c>
      <c r="G42" s="15">
        <v>40</v>
      </c>
      <c r="H42" s="1" t="s">
        <v>81</v>
      </c>
      <c r="I42" s="2">
        <v>2</v>
      </c>
      <c r="J42" s="3">
        <v>45907</v>
      </c>
      <c r="K42" t="s">
        <v>21</v>
      </c>
    </row>
    <row r="43" spans="1:11">
      <c r="A43" s="17"/>
      <c r="B43" s="8" t="s">
        <v>15</v>
      </c>
      <c r="C43" s="13">
        <v>2</v>
      </c>
      <c r="D43" s="23"/>
      <c r="E43" s="9" t="s">
        <v>82</v>
      </c>
      <c r="G43">
        <v>41</v>
      </c>
      <c r="H43" s="24" t="s">
        <v>43</v>
      </c>
      <c r="I43" s="16">
        <v>1.32</v>
      </c>
      <c r="J43" s="3">
        <v>44958</v>
      </c>
      <c r="K43" t="s">
        <v>21</v>
      </c>
    </row>
    <row r="44" spans="1:11">
      <c r="A44" s="25">
        <v>45495</v>
      </c>
      <c r="B44" s="26" t="s">
        <v>13</v>
      </c>
      <c r="C44" s="27">
        <v>8</v>
      </c>
      <c r="D44" s="21">
        <f>SUM(C3:C44)</f>
        <v>-1907.27</v>
      </c>
      <c r="E44" s="28" t="s">
        <v>83</v>
      </c>
      <c r="G44">
        <v>42</v>
      </c>
      <c r="H44" s="10" t="s">
        <v>22</v>
      </c>
      <c r="I44" s="16">
        <v>1.28</v>
      </c>
      <c r="J44" s="3" t="s">
        <v>11</v>
      </c>
      <c r="K44" t="s">
        <v>21</v>
      </c>
    </row>
    <row r="45" spans="1:11">
      <c r="A45" s="25">
        <v>45496</v>
      </c>
      <c r="B45" s="26" t="s">
        <v>24</v>
      </c>
      <c r="C45" s="27">
        <v>5</v>
      </c>
      <c r="D45" s="21">
        <f>SUM(C3:C46)</f>
        <v>-1899.27</v>
      </c>
      <c r="E45" s="28"/>
      <c r="G45">
        <v>43</v>
      </c>
      <c r="H45" s="10" t="s">
        <v>49</v>
      </c>
      <c r="I45" s="16">
        <v>1.01</v>
      </c>
      <c r="J45" s="3">
        <v>45141</v>
      </c>
      <c r="K45" t="s">
        <v>21</v>
      </c>
    </row>
    <row r="46" spans="1:11">
      <c r="A46" s="29"/>
      <c r="B46" s="26" t="s">
        <v>34</v>
      </c>
      <c r="C46" s="27">
        <v>3</v>
      </c>
      <c r="D46" s="30"/>
      <c r="E46" s="28" t="s">
        <v>84</v>
      </c>
      <c r="G46">
        <v>44</v>
      </c>
      <c r="H46" s="10" t="s">
        <v>85</v>
      </c>
      <c r="I46" s="16">
        <v>1</v>
      </c>
      <c r="J46" s="3">
        <v>45794</v>
      </c>
      <c r="K46" t="s">
        <v>21</v>
      </c>
    </row>
    <row r="47" spans="1:11">
      <c r="A47" s="17">
        <v>45497</v>
      </c>
      <c r="B47" s="26" t="s">
        <v>24</v>
      </c>
      <c r="C47" s="27">
        <v>25</v>
      </c>
      <c r="D47" s="21">
        <f>SUM(C3:C47)</f>
        <v>-1874.27</v>
      </c>
      <c r="E47" s="28" t="s">
        <v>86</v>
      </c>
      <c r="G47">
        <v>45</v>
      </c>
      <c r="H47" s="10" t="s">
        <v>14</v>
      </c>
      <c r="I47" s="16">
        <v>0.55</v>
      </c>
      <c r="J47" s="3" t="s">
        <v>11</v>
      </c>
      <c r="K47" t="s">
        <v>21</v>
      </c>
    </row>
    <row r="48" spans="1:11">
      <c r="A48" s="25">
        <v>45500</v>
      </c>
      <c r="B48" s="26" t="s">
        <v>76</v>
      </c>
      <c r="C48" s="27">
        <v>3</v>
      </c>
      <c r="D48" s="21">
        <f>SUM(C3:C49)</f>
        <v>-1866.27</v>
      </c>
      <c r="E48" s="28"/>
      <c r="G48" s="15">
        <v>46</v>
      </c>
      <c r="H48" s="10" t="s">
        <v>87</v>
      </c>
      <c r="I48" s="16">
        <v>0.5</v>
      </c>
      <c r="J48" s="3">
        <v>45697</v>
      </c>
      <c r="K48" t="s">
        <v>21</v>
      </c>
    </row>
    <row r="49" spans="1:11">
      <c r="A49" s="31"/>
      <c r="B49" s="26" t="s">
        <v>13</v>
      </c>
      <c r="C49" s="27">
        <v>5</v>
      </c>
      <c r="D49" s="30"/>
      <c r="E49" s="28" t="s">
        <v>70</v>
      </c>
      <c r="G49">
        <v>47</v>
      </c>
      <c r="H49" s="10" t="s">
        <v>88</v>
      </c>
      <c r="I49" s="2">
        <v>0.5</v>
      </c>
      <c r="J49" s="3">
        <v>45885</v>
      </c>
      <c r="K49" t="s">
        <v>21</v>
      </c>
    </row>
    <row r="50" spans="1:11">
      <c r="A50" s="25">
        <v>45505</v>
      </c>
      <c r="B50" s="26" t="s">
        <v>24</v>
      </c>
      <c r="C50" s="27">
        <v>10</v>
      </c>
      <c r="D50" s="21">
        <f>SUM(C3:C50)</f>
        <v>-1856.27</v>
      </c>
      <c r="E50" s="28" t="s">
        <v>89</v>
      </c>
      <c r="G50">
        <v>48</v>
      </c>
      <c r="H50" s="10" t="s">
        <v>47</v>
      </c>
      <c r="I50" s="16">
        <v>0.11</v>
      </c>
      <c r="J50" s="3">
        <v>45140</v>
      </c>
      <c r="K50" t="s">
        <v>21</v>
      </c>
    </row>
    <row r="51" spans="1:11">
      <c r="A51" s="25">
        <v>45507</v>
      </c>
      <c r="B51" s="26" t="s">
        <v>13</v>
      </c>
      <c r="C51" s="27">
        <v>14</v>
      </c>
      <c r="D51" s="21">
        <f>SUM(C3:C52)</f>
        <v>-1756.27</v>
      </c>
      <c r="E51" s="28" t="s">
        <v>70</v>
      </c>
      <c r="G51">
        <v>49</v>
      </c>
      <c r="H51" s="10" t="s">
        <v>26</v>
      </c>
      <c r="I51" s="16">
        <v>0.1</v>
      </c>
      <c r="J51" s="3">
        <v>44213</v>
      </c>
      <c r="K51" t="s">
        <v>21</v>
      </c>
    </row>
    <row r="52" spans="1:11">
      <c r="A52" s="31"/>
      <c r="B52" s="26" t="s">
        <v>27</v>
      </c>
      <c r="C52" s="27">
        <v>86</v>
      </c>
      <c r="D52" s="30"/>
      <c r="E52" s="28" t="s">
        <v>90</v>
      </c>
    </row>
    <row r="53" spans="1:11">
      <c r="A53" s="25">
        <v>45508</v>
      </c>
      <c r="B53" s="26" t="s">
        <v>13</v>
      </c>
      <c r="C53" s="27">
        <v>9</v>
      </c>
      <c r="D53" s="21">
        <f>SUM(C3:C54)</f>
        <v>-1737.27</v>
      </c>
      <c r="E53" s="28" t="s">
        <v>70</v>
      </c>
    </row>
    <row r="54" spans="1:11">
      <c r="A54" s="31"/>
      <c r="B54" s="26" t="s">
        <v>20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91</v>
      </c>
    </row>
    <row r="56" spans="1:11">
      <c r="A56" s="31"/>
      <c r="B56" s="26" t="s">
        <v>34</v>
      </c>
      <c r="C56" s="27">
        <v>10</v>
      </c>
      <c r="D56" s="30"/>
      <c r="E56" s="28"/>
    </row>
    <row r="57" spans="1:11">
      <c r="A57" s="25">
        <v>45510</v>
      </c>
      <c r="B57" s="26" t="s">
        <v>20</v>
      </c>
      <c r="C57" s="27">
        <v>40</v>
      </c>
      <c r="D57" s="20">
        <f>SUM(C3:C57)</f>
        <v>-1697.27</v>
      </c>
      <c r="E57" s="28" t="s">
        <v>90</v>
      </c>
    </row>
    <row r="58" spans="1:11">
      <c r="A58" s="25">
        <v>45525</v>
      </c>
      <c r="B58" s="33" t="s">
        <v>13</v>
      </c>
      <c r="C58" s="27">
        <f>6+5+5+5+6+5+5+5+30</f>
        <v>72</v>
      </c>
      <c r="D58" s="21">
        <f>SUM(C3:C58)</f>
        <v>-1625.27</v>
      </c>
      <c r="E58" s="28" t="s">
        <v>92</v>
      </c>
    </row>
    <row r="59" spans="1:11">
      <c r="A59" s="25">
        <v>45525</v>
      </c>
      <c r="B59" s="33" t="s">
        <v>20</v>
      </c>
      <c r="C59" s="27">
        <v>6</v>
      </c>
      <c r="D59" s="21">
        <f>SUM(C3:C59)</f>
        <v>-1619.27</v>
      </c>
      <c r="E59" s="28" t="s">
        <v>93</v>
      </c>
    </row>
    <row r="60" spans="1:11">
      <c r="A60" s="25">
        <v>45549</v>
      </c>
      <c r="B60" s="33" t="s">
        <v>13</v>
      </c>
      <c r="C60" s="27">
        <v>30</v>
      </c>
      <c r="D60" s="21">
        <f>SUM(C3:C61)</f>
        <v>-1569.27</v>
      </c>
      <c r="E60" s="28" t="s">
        <v>70</v>
      </c>
    </row>
    <row r="61" spans="1:11">
      <c r="A61" s="29"/>
      <c r="B61" s="33" t="s">
        <v>20</v>
      </c>
      <c r="C61" s="27">
        <v>20</v>
      </c>
      <c r="D61" s="30"/>
      <c r="E61" s="28" t="s">
        <v>90</v>
      </c>
    </row>
    <row r="62" spans="1:11">
      <c r="A62" s="31">
        <v>45551</v>
      </c>
      <c r="B62" s="33" t="s">
        <v>23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13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27</v>
      </c>
      <c r="C65" s="27">
        <v>20</v>
      </c>
      <c r="D65" s="30"/>
      <c r="E65" s="28" t="s">
        <v>94</v>
      </c>
    </row>
    <row r="66" spans="1:5">
      <c r="A66" s="25">
        <v>45584</v>
      </c>
      <c r="B66" s="33" t="s">
        <v>13</v>
      </c>
      <c r="C66" s="27">
        <v>30</v>
      </c>
      <c r="D66" s="21">
        <f>SUM(C3:C66)</f>
        <v>-1456.27</v>
      </c>
      <c r="E66" s="28" t="s">
        <v>70</v>
      </c>
    </row>
    <row r="67" spans="1:5">
      <c r="A67" s="25">
        <v>45584</v>
      </c>
      <c r="B67" s="33" t="s">
        <v>20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13</v>
      </c>
      <c r="C68" s="27">
        <v>60</v>
      </c>
      <c r="D68" s="21">
        <f>SUM(C3:C68)</f>
        <v>-1389.27</v>
      </c>
      <c r="E68" s="28" t="s">
        <v>95</v>
      </c>
    </row>
    <row r="69" spans="1:5">
      <c r="A69" s="25">
        <v>45597</v>
      </c>
      <c r="B69" s="33" t="s">
        <v>20</v>
      </c>
      <c r="C69" s="27">
        <v>5</v>
      </c>
      <c r="D69" s="21">
        <f>SUM(C3:C69)</f>
        <v>-1384.27</v>
      </c>
      <c r="E69" s="28" t="s">
        <v>70</v>
      </c>
    </row>
    <row r="70" spans="1:5">
      <c r="A70" s="25">
        <v>45598</v>
      </c>
      <c r="B70" s="33" t="s">
        <v>13</v>
      </c>
      <c r="C70" s="27">
        <v>5</v>
      </c>
      <c r="D70" s="21">
        <f>SUM(C3:C70)</f>
        <v>-1379.27</v>
      </c>
      <c r="E70" s="28" t="s">
        <v>70</v>
      </c>
    </row>
    <row r="71" spans="1:5">
      <c r="A71" s="25">
        <v>45612</v>
      </c>
      <c r="B71" s="33" t="s">
        <v>20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13</v>
      </c>
      <c r="C72" s="27">
        <v>15</v>
      </c>
      <c r="D72" s="21">
        <f>SUM(C3:C72)</f>
        <v>-1359.27</v>
      </c>
      <c r="E72" s="28" t="s">
        <v>70</v>
      </c>
    </row>
    <row r="73" spans="1:5">
      <c r="A73" s="17">
        <v>45634</v>
      </c>
      <c r="B73" s="33" t="s">
        <v>69</v>
      </c>
      <c r="C73" s="27">
        <v>5</v>
      </c>
      <c r="D73" s="21">
        <f>SUM(C3:C74)</f>
        <v>-1344.27</v>
      </c>
      <c r="E73" s="28" t="s">
        <v>70</v>
      </c>
    </row>
    <row r="74" spans="1:5">
      <c r="A74" s="17"/>
      <c r="B74" s="33" t="s">
        <v>34</v>
      </c>
      <c r="C74" s="27">
        <v>10</v>
      </c>
      <c r="D74" s="30"/>
      <c r="E74" s="28" t="s">
        <v>96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20</v>
      </c>
      <c r="C76" s="27">
        <v>30</v>
      </c>
      <c r="D76" s="21">
        <f>SUM(C3:C76)</f>
        <v>-1304.27</v>
      </c>
      <c r="E76" s="28" t="s">
        <v>97</v>
      </c>
    </row>
    <row r="77" spans="1:5">
      <c r="A77" s="25">
        <v>45686</v>
      </c>
      <c r="B77" s="33" t="s">
        <v>13</v>
      </c>
      <c r="C77" s="27">
        <v>9</v>
      </c>
      <c r="D77" s="21">
        <f>SUM(C3:C77)</f>
        <v>-1295.27</v>
      </c>
      <c r="E77" s="28" t="s">
        <v>70</v>
      </c>
    </row>
    <row r="78" spans="1:5">
      <c r="A78" s="25">
        <v>45697</v>
      </c>
      <c r="B78" s="33" t="s">
        <v>87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71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85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23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61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61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30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63</v>
      </c>
      <c r="C87" s="27">
        <v>6</v>
      </c>
      <c r="D87" s="21">
        <f>SUM(C3:C87)</f>
        <v>-1237.97</v>
      </c>
      <c r="E87" s="28" t="s">
        <v>98</v>
      </c>
    </row>
    <row r="88" spans="1:5">
      <c r="A88" s="25">
        <v>45877</v>
      </c>
      <c r="B88" s="33" t="s">
        <v>15</v>
      </c>
      <c r="C88" s="27">
        <v>5</v>
      </c>
      <c r="D88" s="21">
        <f>SUM(C3:C88)</f>
        <v>-1232.97</v>
      </c>
      <c r="E88" s="28" t="s">
        <v>70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15</v>
      </c>
      <c r="C90" s="27">
        <v>26</v>
      </c>
      <c r="D90" s="21">
        <f>SUM(C3:C90)</f>
        <v>-1206.96</v>
      </c>
      <c r="E90" s="34" t="s">
        <v>99</v>
      </c>
    </row>
    <row r="91" spans="1:5">
      <c r="A91" s="25">
        <v>45881</v>
      </c>
      <c r="B91" s="33" t="s">
        <v>13</v>
      </c>
      <c r="C91" s="27">
        <v>5</v>
      </c>
      <c r="D91" s="21">
        <f>SUM(C3:C91)</f>
        <v>-1201.96</v>
      </c>
      <c r="E91" s="34" t="s">
        <v>70</v>
      </c>
    </row>
    <row r="92" spans="1:5">
      <c r="A92" s="17">
        <v>45885</v>
      </c>
      <c r="B92" s="33" t="s">
        <v>88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73</v>
      </c>
      <c r="C93" s="27">
        <v>6</v>
      </c>
      <c r="D93" s="30"/>
      <c r="E93" s="34"/>
    </row>
    <row r="94" spans="1:5">
      <c r="A94" s="17"/>
      <c r="B94" s="33" t="s">
        <v>61</v>
      </c>
      <c r="C94" s="27">
        <v>4</v>
      </c>
      <c r="D94" s="30"/>
      <c r="E94" s="34"/>
    </row>
    <row r="95" spans="1:5">
      <c r="A95" s="25">
        <v>45886</v>
      </c>
      <c r="B95" s="33" t="s">
        <v>13</v>
      </c>
      <c r="C95" s="27">
        <v>5</v>
      </c>
      <c r="D95" s="21">
        <f>SUM(C3:C95)</f>
        <v>-1186.46</v>
      </c>
      <c r="E95" s="34" t="s">
        <v>70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60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74</v>
      </c>
      <c r="C100" s="27">
        <v>2</v>
      </c>
      <c r="D100" s="30"/>
      <c r="E100" s="34"/>
    </row>
    <row r="101" spans="1:5">
      <c r="A101" s="31"/>
      <c r="B101" s="33" t="s">
        <v>30</v>
      </c>
      <c r="C101" s="27">
        <v>2</v>
      </c>
      <c r="D101" s="30"/>
      <c r="E101" s="34"/>
    </row>
    <row r="102" spans="1:5">
      <c r="A102" s="31"/>
      <c r="B102" s="33" t="s">
        <v>81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100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70</v>
      </c>
    </row>
    <row r="105" spans="1:5">
      <c r="A105" s="25">
        <v>45925</v>
      </c>
      <c r="B105" s="33" t="s">
        <v>30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30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74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17</v>
      </c>
      <c r="C110" s="27">
        <v>60</v>
      </c>
      <c r="D110" s="21">
        <f>SUM(C3:C110)</f>
        <v>-1202.68</v>
      </c>
      <c r="E110" s="34" t="s">
        <v>101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30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17</v>
      </c>
      <c r="C113" s="27">
        <v>60</v>
      </c>
      <c r="D113" s="21">
        <f>SUM(C3:C113)</f>
        <v>-1131.68</v>
      </c>
      <c r="E113" s="34" t="s">
        <v>102</v>
      </c>
    </row>
    <row r="114" spans="1:5">
      <c r="A114" s="25">
        <v>45975</v>
      </c>
      <c r="B114" s="33" t="s">
        <v>15</v>
      </c>
      <c r="C114" s="27">
        <v>37</v>
      </c>
      <c r="D114" s="21">
        <f>SUM(C3:C114)</f>
        <v>-1094.68</v>
      </c>
      <c r="E114" s="34" t="s">
        <v>103</v>
      </c>
    </row>
    <row r="115" spans="1:5">
      <c r="A115" s="25">
        <v>45976</v>
      </c>
      <c r="B115" s="33" t="s">
        <v>78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17</v>
      </c>
      <c r="C116" s="27">
        <v>20</v>
      </c>
      <c r="D116" s="21">
        <f>SUM(C3:C116)</f>
        <v>-1072.18</v>
      </c>
      <c r="E116" s="34" t="s">
        <v>104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105</v>
      </c>
    </row>
    <row r="118" spans="1:5">
      <c r="A118" s="25">
        <v>46012</v>
      </c>
      <c r="B118" s="33" t="s">
        <v>17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30</v>
      </c>
      <c r="C119" s="27">
        <v>16</v>
      </c>
      <c r="D119" s="21">
        <f>SUM(C3:C119)</f>
        <v>-1045.18</v>
      </c>
      <c r="E119" s="34" t="s">
        <v>106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25</v>
      </c>
      <c r="C121" s="27">
        <v>66</v>
      </c>
      <c r="D121" s="21">
        <f>SUM(C3:C121)</f>
        <v>-977.18</v>
      </c>
      <c r="E121" s="34" t="s">
        <v>107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25</v>
      </c>
      <c r="C123" s="27">
        <v>7</v>
      </c>
      <c r="D123" s="21">
        <f>SUM(C3:C123)</f>
        <v>-969.18</v>
      </c>
      <c r="E123" s="34" t="s">
        <v>108</v>
      </c>
    </row>
    <row r="124" spans="1:5">
      <c r="A124" s="31"/>
      <c r="B124" s="33" t="s">
        <v>30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13</v>
      </c>
      <c r="C125" s="27">
        <v>5</v>
      </c>
      <c r="D125" s="21">
        <f>SUM(C3:C125)</f>
        <v>-953.18</v>
      </c>
      <c r="E125" s="34" t="s">
        <v>70</v>
      </c>
    </row>
    <row r="126" spans="1:5">
      <c r="A126" s="25">
        <v>46055</v>
      </c>
      <c r="B126" s="33" t="s">
        <v>25</v>
      </c>
      <c r="C126" s="27">
        <v>36</v>
      </c>
      <c r="D126" s="21">
        <f>SUM(C3:C126)</f>
        <v>-917.18</v>
      </c>
      <c r="E126" s="34" t="s">
        <v>109</v>
      </c>
    </row>
    <row r="127" spans="1:5">
      <c r="A127" s="25">
        <v>46057</v>
      </c>
      <c r="B127" s="33" t="s">
        <v>13</v>
      </c>
      <c r="C127" s="27">
        <v>5</v>
      </c>
      <c r="D127" s="21">
        <f>SUM(C3:C127)</f>
        <v>-912.18</v>
      </c>
      <c r="E127" s="34" t="s">
        <v>70</v>
      </c>
    </row>
    <row r="128" spans="1:5">
      <c r="A128" s="35">
        <v>46068</v>
      </c>
      <c r="B128" s="33" t="s">
        <v>25</v>
      </c>
      <c r="C128" s="27">
        <v>78</v>
      </c>
      <c r="D128" s="21">
        <f>SUM(C3:C128)</f>
        <v>-834.18</v>
      </c>
      <c r="E128" s="34" t="s">
        <v>110</v>
      </c>
    </row>
    <row r="129" spans="1:5">
      <c r="A129" s="36"/>
      <c r="B129" s="33" t="s">
        <v>17</v>
      </c>
      <c r="C129" s="27">
        <v>30</v>
      </c>
      <c r="D129" s="21">
        <f>SUM(C3:C129)</f>
        <v>-804.18</v>
      </c>
      <c r="E129" s="34" t="s">
        <v>111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25</v>
      </c>
      <c r="C131" s="27">
        <v>8</v>
      </c>
      <c r="D131" s="21">
        <f>SUM(C3:C131)</f>
        <v>-791.18</v>
      </c>
      <c r="E131" s="34" t="s">
        <v>82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28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17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13</v>
      </c>
      <c r="C136" s="27">
        <v>25</v>
      </c>
      <c r="D136" s="21">
        <f>SUM(C3:C136)</f>
        <v>-736.36</v>
      </c>
      <c r="E136" s="34" t="s">
        <v>70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13</v>
      </c>
      <c r="C138" s="27">
        <v>70</v>
      </c>
      <c r="D138" s="21">
        <f>SUM(C3:C138)</f>
        <v>-656.36</v>
      </c>
      <c r="E138" s="34" t="s">
        <v>112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113</v>
      </c>
    </row>
    <row r="141" spans="1:5">
      <c r="A141" s="25">
        <v>46136</v>
      </c>
      <c r="B141" s="33" t="s">
        <v>13</v>
      </c>
      <c r="C141" s="27">
        <v>15</v>
      </c>
      <c r="D141" s="21">
        <f>SUM(C3:C141)</f>
        <v>-3136.15</v>
      </c>
      <c r="E141" s="34" t="s">
        <v>70</v>
      </c>
    </row>
    <row r="142" spans="1:5">
      <c r="A142" s="25">
        <v>46141</v>
      </c>
      <c r="B142" s="33" t="s">
        <v>17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28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114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28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13</v>
      </c>
      <c r="C148" s="27">
        <v>20</v>
      </c>
      <c r="D148" s="21">
        <f>SUM(C3:C148)</f>
        <v>-3059.15</v>
      </c>
      <c r="E148" s="34" t="s">
        <v>70</v>
      </c>
    </row>
    <row r="149" spans="1:5">
      <c r="A149" s="25">
        <v>46160</v>
      </c>
      <c r="B149" s="33" t="s">
        <v>65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13</v>
      </c>
      <c r="C150" s="27">
        <v>30</v>
      </c>
      <c r="D150" s="21">
        <f>SUM(C3:C150)</f>
        <v>-3024.11</v>
      </c>
      <c r="E150" s="34" t="s">
        <v>70</v>
      </c>
    </row>
    <row r="151" spans="1:5">
      <c r="A151" s="25">
        <v>46184</v>
      </c>
      <c r="B151" s="33" t="s">
        <v>17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13</v>
      </c>
      <c r="C152" s="27">
        <v>20</v>
      </c>
      <c r="D152" s="21">
        <f>SUM(C3:C152)</f>
        <v>-2994.11</v>
      </c>
      <c r="E152" s="34" t="s">
        <v>70</v>
      </c>
    </row>
    <row r="153" spans="1:5">
      <c r="A153" s="25">
        <v>46193</v>
      </c>
      <c r="B153" s="33" t="s">
        <v>17</v>
      </c>
      <c r="C153" s="27">
        <v>50</v>
      </c>
      <c r="D153" s="21">
        <f>SUM(C3:C153)</f>
        <v>-2944.11</v>
      </c>
      <c r="E153" s="34"/>
    </row>
    <row r="154" spans="1:5">
      <c r="A154" s="31"/>
      <c r="B154" s="33" t="s">
        <v>13</v>
      </c>
      <c r="C154" s="27">
        <v>10</v>
      </c>
      <c r="D154" s="21">
        <f>SUM(C3:C154)</f>
        <v>-2934.11</v>
      </c>
      <c r="E154" s="34" t="s">
        <v>70</v>
      </c>
    </row>
    <row r="155" spans="1:5">
      <c r="A155" s="25">
        <v>46196</v>
      </c>
      <c r="B155" s="33" t="s">
        <v>28</v>
      </c>
      <c r="C155" s="27">
        <v>25</v>
      </c>
      <c r="D155" s="21">
        <f>SUM(C3:C155)</f>
        <v>-2909.11</v>
      </c>
      <c r="E155" s="34" t="s">
        <v>109</v>
      </c>
    </row>
    <row r="156" spans="1:5">
      <c r="A156" s="25">
        <v>46204</v>
      </c>
      <c r="B156" s="33" t="s">
        <v>13</v>
      </c>
      <c r="C156" s="27">
        <v>20</v>
      </c>
      <c r="D156" s="21">
        <f>SUM(C3:C156)</f>
        <v>-2889.11</v>
      </c>
      <c r="E156" s="34" t="s">
        <v>70</v>
      </c>
    </row>
    <row r="157" spans="1:5">
      <c r="A157" s="25">
        <v>46205</v>
      </c>
      <c r="B157" s="33" t="s">
        <v>57</v>
      </c>
      <c r="C157" s="27">
        <v>8</v>
      </c>
      <c r="D157" s="21">
        <f>SUM(C3:C157)</f>
        <v>-2881.11</v>
      </c>
      <c r="E157" s="34" t="s">
        <v>115</v>
      </c>
    </row>
    <row r="158" spans="1:5">
      <c r="A158" s="31"/>
      <c r="B158" s="33" t="s">
        <v>17</v>
      </c>
      <c r="C158" s="27">
        <v>240</v>
      </c>
      <c r="D158" s="21">
        <f>SUM(C3:C158)</f>
        <v>-2641.11</v>
      </c>
      <c r="E158" s="34"/>
    </row>
    <row r="159" spans="1:5">
      <c r="A159" s="31"/>
      <c r="B159" s="33" t="s">
        <v>13</v>
      </c>
      <c r="C159" s="27">
        <v>10</v>
      </c>
      <c r="D159" s="21">
        <f>SUM(C3:C159)</f>
        <v>-2631.11</v>
      </c>
      <c r="E159" s="34" t="s">
        <v>70</v>
      </c>
    </row>
    <row r="160" spans="1:5">
      <c r="A160" s="25">
        <v>46206</v>
      </c>
      <c r="B160" s="33" t="s">
        <v>28</v>
      </c>
      <c r="C160" s="27">
        <v>5</v>
      </c>
      <c r="D160" s="21">
        <f>SUM(C3:C160)</f>
        <v>-2626.11</v>
      </c>
      <c r="E160" s="34" t="s">
        <v>70</v>
      </c>
    </row>
    <row r="161" spans="1:5">
      <c r="A161" s="25">
        <v>46210</v>
      </c>
      <c r="B161" s="33" t="s">
        <v>25</v>
      </c>
      <c r="C161" s="27">
        <v>33</v>
      </c>
      <c r="D161" s="21">
        <f>SUM(C3:C161)</f>
        <v>-2593.11</v>
      </c>
      <c r="E161" s="34"/>
    </row>
    <row r="162" ht="14.25" spans="1:5">
      <c r="A162" s="37"/>
      <c r="B162" s="38"/>
      <c r="C162" s="39"/>
      <c r="D162" s="39"/>
      <c r="E162" s="40"/>
    </row>
    <row r="163" spans="1:5">
      <c r="A163" s="41" t="s">
        <v>116</v>
      </c>
      <c r="B163" s="41"/>
      <c r="C163" s="41"/>
      <c r="D163" s="41"/>
      <c r="E163" s="41"/>
    </row>
  </sheetData>
  <mergeCells count="42">
    <mergeCell ref="A1:E1"/>
    <mergeCell ref="G1:K1"/>
    <mergeCell ref="A163:E163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A157:A159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{dda28aed-6bab-4d98-b172-9310ed1317e6}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{41a5e2b1-2edc-4d68-a131-5d85c7b12d5b}</x14:id>
        </ext>
      </extLst>
    </cfRule>
  </conditionalFormatting>
  <conditionalFormatting sqref="D1:D18 D20:D23 D25:D26 D28:D42 D44:D45 D47:D48 D50:D51 D53 D55 D57:D60 D62:D64 D66:D73 D75:D92 D95:D98 D103:D162 D164:D104857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{379cd7c2-ea14-4e26-92d4-43b8b1501090}</x14:id>
        </ext>
      </extLst>
    </cfRule>
  </conditionalFormatting>
  <conditionalFormatting sqref="I1:I26 I28:I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{6f2b8e67-1bee-4d6f-8afa-aa05396ac993}</x14:id>
        </ext>
      </extLst>
    </cfRule>
  </conditionalFormatting>
  <conditionalFormatting sqref="I1:I24 I26 I28:I1048576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{d1d4e2aa-e34d-4c30-a599-78e4ec12c99b}</x14:id>
        </ext>
      </extLst>
    </cfRule>
  </conditionalFormatting>
  <conditionalFormatting sqref="I1:I18 I26 I28:I1048576 I20:I2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{2eebbc89-811f-4b74-b357-9ce3b4b5a7f6}</x14:id>
        </ext>
      </extLst>
    </cfRule>
  </conditionalFormatting>
  <conditionalFormatting sqref="I1:I9 I28:I1048576 I11:I18 I20:I24 I2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{e5fe87ac-32ec-4bc5-b64a-300233a562fd}</x14:id>
        </ext>
      </extLst>
    </cfRule>
  </conditionalFormatting>
  <conditionalFormatting sqref="I1:I9 I28:I1048576 I11:I18 I20:I23 I26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{23c28805-668f-4e18-9773-e879fdb4fb3a}</x14:id>
        </ext>
      </extLst>
    </cfRule>
  </conditionalFormatting>
  <conditionalFormatting sqref="I2 I52:I1048576 I31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{a1f4dccc-d946-4b9a-9b68-6190d4797408}</x14:id>
        </ext>
      </extLst>
    </cfRule>
  </conditionalFormatting>
  <conditionalFormatting sqref="I2:I4 I28:I38 I26 I11:I18 I9 I6:I7 I40:I1048576 I20:I23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{1b61aaca-83ea-44ad-8ea7-0574f315436b}</x14:id>
        </ext>
      </extLst>
    </cfRule>
  </conditionalFormatting>
  <conditionalFormatting sqref="I2:I4 I28:I38 I9 I26 I6:I7 I11:I16 I40:I1048576 I20:I23 I18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{f8b8b31c-f96d-42d1-8e93-c62e7be8891b}</x14:id>
        </ext>
      </extLst>
    </cfRule>
  </conditionalFormatting>
  <conditionalFormatting sqref="D3 D10:D18 D20:D23 D25:D26 D28:D3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2:I14 I3:I4 I50:I51 I6:I7 I18 I9 I20:I23 I26 I37:I38 I29 I32:I34 I40:I41 I43:I48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{e8ad24d4-8614-4351-a124-6d7c863227e8}</x14:id>
        </ext>
      </extLst>
    </cfRule>
  </conditionalFormatting>
  <conditionalFormatting sqref="I18 I3:I4 I50:I51 I6:I7 I12:I14 I9 I20:I23 I37:I38 I29 I32:I34 I40:I41 I43:I48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{085014cf-1b84-4c22-838a-e5cd85a403f5}</x14:id>
        </ext>
      </extLst>
    </cfRule>
  </conditionalFormatting>
  <conditionalFormatting sqref="I16 I3:I4 I43:I48 I6:I7 I12:I14 I9 I20:I23 I26 I18 I50:I51 I29 I32:I34 I37:I38 I40:I4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{d62c5a28-755d-48b4-bfcb-4acbc45cc0e8}</x14:id>
        </ext>
      </extLst>
    </cfRule>
  </conditionalFormatting>
  <conditionalFormatting sqref="I11:I14 I3:I4 I37:I38 I6:I7 I20:I23 I9 I16 I26 I18 I40:I41 I29:I30 I43:I51 I32:I35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{521a02ac-3d11-4d91-a132-60da00920526}</x14:id>
        </ext>
      </extLst>
    </cfRule>
  </conditionalFormatting>
  <conditionalFormatting sqref="I20:I23 I3:I4 I29:I30 I6:I7 I16 I9 I11:I14 I26 I18 I50:I51 I32:I34 I37:I38 I40:I41 I43:I48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{6ae66a5b-4736-4a18-87bc-85ad8631268b}</x14:id>
        </ext>
      </extLst>
    </cfRule>
  </conditionalFormatting>
  <conditionalFormatting sqref="I18 I20:I23 I3:I4 I40:I51 I6:I7 I26 I9 I11:I16 I28:I30 I32:I38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{fc969919-126a-4c45-af96-85eefa8791da}</x14:id>
        </ext>
      </extLst>
    </cfRule>
  </conditionalFormatting>
  <conditionalFormatting sqref="I11:I16 I3:I4 I32:I38 I6:I7 I20:I23 I9 I18 I26 I40:I51 I29:I30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{55c90aec-be42-48c9-9a1d-34d7ae269098}</x14:id>
        </ext>
      </extLst>
    </cfRule>
  </conditionalFormatting>
  <conditionalFormatting sqref="I11:I18 I3:I4 I40:I51 I6:I7 I20:I23 I9 I26 I32:I38 I28:I30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{17d50051-15f7-4451-8f66-f9dab37b6e79}</x14:id>
        </ext>
      </extLst>
    </cfRule>
  </conditionalFormatting>
  <conditionalFormatting sqref="I11:I18 I3:I7 I28:I30 I32:I51 I26 I20:I23 I9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{8002b3ac-a8b8-43e8-9020-25131c57a717}</x14:id>
        </ext>
      </extLst>
    </cfRule>
  </conditionalFormatting>
  <conditionalFormatting sqref="I26 I20:I23 I3:I7 I32:I38 I40:I51 I11:I18 I9 I28:I30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{1dc8d6e4-2b04-4017-878d-17a32f711389}</x14:id>
        </ext>
      </extLst>
    </cfRule>
  </conditionalFormatting>
  <conditionalFormatting sqref="I26 I3:I24 I32:I51 I28:I30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{6530289b-41df-4775-9c46-630bce9f8921}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a28aed-6bab-4d98-b172-9310ed1317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41a5e2b1-2edc-4d68-a131-5d85c7b12d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379cd7c2-ea14-4e26-92d4-43b8b150109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6f2b8e67-1bee-4d6f-8afa-aa05396ac9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I1:I26 I28:I1048576</xm:sqref>
        </x14:conditionalFormatting>
        <x14:conditionalFormatting xmlns:xm="http://schemas.microsoft.com/office/excel/2006/main">
          <x14:cfRule type="dataBar" id="{d1d4e2aa-e34d-4c30-a599-78e4ec12c9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 I28:I1048576</xm:sqref>
        </x14:conditionalFormatting>
        <x14:conditionalFormatting xmlns:xm="http://schemas.microsoft.com/office/excel/2006/main">
          <x14:cfRule type="dataBar" id="{2eebbc89-811f-4b74-b357-9ce3b4b5a7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 I28:I1048576 I20:I24</xm:sqref>
        </x14:conditionalFormatting>
        <x14:conditionalFormatting xmlns:xm="http://schemas.microsoft.com/office/excel/2006/main">
          <x14:cfRule type="dataBar" id="{e5fe87ac-32ec-4bc5-b64a-300233a562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I28:I1048576 I11:I18 I20:I24 I26</xm:sqref>
        </x14:conditionalFormatting>
        <x14:conditionalFormatting xmlns:xm="http://schemas.microsoft.com/office/excel/2006/main">
          <x14:cfRule type="dataBar" id="{23c28805-668f-4e18-9773-e879fdb4fb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I28:I1048576 I11:I18 I20:I23 I26</xm:sqref>
        </x14:conditionalFormatting>
        <x14:conditionalFormatting xmlns:xm="http://schemas.microsoft.com/office/excel/2006/main">
          <x14:cfRule type="dataBar" id="{a1f4dccc-d946-4b9a-9b68-6190d47974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I52:I1048576 I31</xm:sqref>
        </x14:conditionalFormatting>
        <x14:conditionalFormatting xmlns:xm="http://schemas.microsoft.com/office/excel/2006/main">
          <x14:cfRule type="dataBar" id="{1b61aaca-83ea-44ad-8ea7-0574f31543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I28:I38 I26 I11:I18 I9 I6:I7 I40:I1048576 I20:I23</xm:sqref>
        </x14:conditionalFormatting>
        <x14:conditionalFormatting xmlns:xm="http://schemas.microsoft.com/office/excel/2006/main">
          <x14:cfRule type="dataBar" id="{f8b8b31c-f96d-42d1-8e93-c62e7be889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I2:I4 I28:I38 I9 I26 I6:I7 I11:I16 I40:I1048576 I20:I23 I18</xm:sqref>
        </x14:conditionalFormatting>
        <x14:conditionalFormatting xmlns:xm="http://schemas.microsoft.com/office/excel/2006/main">
          <x14:cfRule type="dataBar" id="{e8ad24d4-8614-4351-a124-6d7c863227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I12:I14 I3:I4 I50:I51 I6:I7 I18 I9 I20:I23 I26 I37:I38 I29 I32:I34 I40:I41 I43:I48</xm:sqref>
        </x14:conditionalFormatting>
        <x14:conditionalFormatting xmlns:xm="http://schemas.microsoft.com/office/excel/2006/main">
          <x14:cfRule type="dataBar" id="{085014cf-1b84-4c22-838a-e5cd85a403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I3:I4 I50:I51 I6:I7 I12:I14 I9 I20:I23 I37:I38 I29 I32:I34 I40:I41 I43:I48</xm:sqref>
        </x14:conditionalFormatting>
        <x14:conditionalFormatting xmlns:xm="http://schemas.microsoft.com/office/excel/2006/main">
          <x14:cfRule type="dataBar" id="{d62c5a28-755d-48b4-bfcb-4acbc45cc0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 I3:I4 I43:I48 I6:I7 I12:I14 I9 I20:I23 I26 I18 I50:I51 I29 I32:I34 I37:I38 I40:I41</xm:sqref>
        </x14:conditionalFormatting>
        <x14:conditionalFormatting xmlns:xm="http://schemas.microsoft.com/office/excel/2006/main">
          <x14:cfRule type="dataBar" id="{521a02ac-3d11-4d91-a132-60da009205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I11:I14 I3:I4 I37:I38 I6:I7 I20:I23 I9 I16 I26 I18 I40:I41 I29:I30 I43:I51 I32:I35</xm:sqref>
        </x14:conditionalFormatting>
        <x14:conditionalFormatting xmlns:xm="http://schemas.microsoft.com/office/excel/2006/main">
          <x14:cfRule type="dataBar" id="{6ae66a5b-4736-4a18-87bc-85ad863126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I20:I23 I3:I4 I29:I30 I6:I7 I16 I9 I11:I14 I26 I18 I50:I51 I32:I34 I37:I38 I40:I41 I43:I48</xm:sqref>
        </x14:conditionalFormatting>
        <x14:conditionalFormatting xmlns:xm="http://schemas.microsoft.com/office/excel/2006/main">
          <x14:cfRule type="dataBar" id="{fc969919-126a-4c45-af96-85eefa8791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 I20:I23 I3:I4 I40:I51 I6:I7 I26 I9 I11:I16 I28:I30 I32:I38</xm:sqref>
        </x14:conditionalFormatting>
        <x14:conditionalFormatting xmlns:xm="http://schemas.microsoft.com/office/excel/2006/main">
          <x14:cfRule type="dataBar" id="{55c90aec-be42-48c9-9a1d-34d7ae2690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I11:I16 I3:I4 I32:I38 I6:I7 I20:I23 I9 I18 I26 I40:I51 I29:I30</xm:sqref>
        </x14:conditionalFormatting>
        <x14:conditionalFormatting xmlns:xm="http://schemas.microsoft.com/office/excel/2006/main">
          <x14:cfRule type="dataBar" id="{17d50051-15f7-4451-8f66-f9dab37b6e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I3:I4 I40:I51 I6:I7 I20:I23 I9 I26 I32:I38 I28:I30</xm:sqref>
        </x14:conditionalFormatting>
        <x14:conditionalFormatting xmlns:xm="http://schemas.microsoft.com/office/excel/2006/main">
          <x14:cfRule type="dataBar" id="{8002b3ac-a8b8-43e8-9020-25131c57a7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I3:I7 I28:I30 I32:I51 I26 I20:I23 I9</xm:sqref>
        </x14:conditionalFormatting>
        <x14:conditionalFormatting xmlns:xm="http://schemas.microsoft.com/office/excel/2006/main">
          <x14:cfRule type="dataBar" id="{1dc8d6e4-2b04-4017-878d-17a32f7113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I20:I23 I3:I7 I32:I38 I40:I51 I11:I18 I9 I28:I30</xm:sqref>
        </x14:conditionalFormatting>
        <x14:conditionalFormatting xmlns:xm="http://schemas.microsoft.com/office/excel/2006/main">
          <x14:cfRule type="dataBar" id="{6530289b-41df-4775-9c46-630bce9f89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 I3:I24 I32:I51 I28:I30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2026-07-07T13:27:08Z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