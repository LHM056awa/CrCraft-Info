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200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<sst xmlns="http://schemas.openxmlformats.org/spreadsheetml/2006/main" count="297" uniqueCount="114">
  <si>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</si>
  <si>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</si>
  <si>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</si>
  <si>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</si>
  <si>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</si>
  <si>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</si>
  <si>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</si>
  <si>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</si>
  <si>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</si>
  <si>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</si>
  <si>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</si>
  <si>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</si>
  <si>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</si>
  <si>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AL_1S_2</t>
  </si>
  <si>
    <t>MoFangYa_</t>
  </si>
  <si>
    <t>Celi2357</t>
  </si>
  <si>
    <t>BYyihan</t>
  </si>
  <si>
    <t>qmzp_</t>
  </si>
  <si>
    <t>Mtve</t>
  </si>
  <si>
    <t>KIRINIT</t>
  </si>
  <si>
    <t>zkiftie</t>
  </si>
  <si>
    <t>Disha_UUU2</t>
  </si>
  <si>
    <t>_LoveSelf_</t>
  </si>
  <si>
    <t>dog</t>
  </si>
  <si>
    <t>NGZI</t>
  </si>
  <si>
    <t>Guramchik</t>
  </si>
  <si>
    <t>Press_on</t>
  </si>
  <si>
    <t>↑3</t>
  </si>
  <si>
    <t>用于购买内存条</t>
  </si>
  <si>
    <t>partyking1145</t>
  </si>
  <si>
    <t>↓1</t>
  </si>
  <si>
    <t>购买内存条</t>
  </si>
  <si>
    <t>xiaoshenjin233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</si>
  <si>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</si>
  <si>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</si>
  <si>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</si>
  <si>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</si>
  <si>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</si>
  <si>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</si>
  <si>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</si>
  <si>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</si>
  <si>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</si>
  <si>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</si>
  <si>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</si>
  <si>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</si>
  <si>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</si>
  <si>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</si>
  <si>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</si>
  <si>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</si>
  <si>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</si>
  <si>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</si>
  <si>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</si>
  <si>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</si>
  <si>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</si>
  <si>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</si>
  <si>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</si>
  <si>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</si>
  <si>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</si>
  <si>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</si>
  <si>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</si>
  <si>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</si>
  <si>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</si>
  <si>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</si>
  <si>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鞘翅、TP、电费、羊毛、村民、TNT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</si>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</sst>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8"/>
  <sheetViews>
    <sheetView tabSelected="1" workbookViewId="0">
      <pane ySplit="2" topLeftCell="A3" activePane="bottomLeft" state="frozen"/>
      <selection/>
      <selection pane="bottomLeft" activeCell="J3" sqref="J3"/>
    </sheetView>
  </sheetViews>
  <sheetFormatPr defaultColWidth="9" defaultRowHeight="14"/>
  <cols>
    <col min="1" max="1" width="15.6272727272727" customWidth="1"/>
    <col min="2" max="2" width="18.2545454545455" style="1" customWidth="1"/>
    <col min="3" max="3" width="10.8727272727273" customWidth="1"/>
    <col min="4" max="4" width="9.37272727272727" customWidth="1"/>
    <col min="5" max="5" width="33.1272727272727" customWidth="1"/>
    <col min="7" max="7" width="5.12727272727273" customWidth="1"/>
    <col min="8" max="8" width="18.2545454545455" customWidth="1"/>
    <col min="9" max="9" width="12.8727272727273" style="2" customWidth="1"/>
    <col min="10" max="10" width="15.6272727272727" style="3" customWidth="1"/>
    <col min="11" max="11" width="5.12727272727273" customWidth="1"/>
    <col min="13" max="13" width="15.6272727272727"/>
    <col min="14" max="14" width="13.3727272727273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SUM(C44,C49,C51:C51,C53,C58:C58,C60:C60,C63,C66:C66,C68:C68,C70,C72:C72,C77,C91,C95,C125,C127,C136,C138,C141,C148,C150,C152,C154,C156)</f>
        <v>522</v>
      </c>
      <c r="J3" s="3">
        <v>46203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SUM(C10,C15,C18:C18,C21:C21,C24,C31:C31,C36,C43,C88,C90,C114)</f>
        <v>504.2</v>
      </c>
      <c r="J4" s="3">
        <v>45975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" t="s">
        <v>19</v>
      </c>
      <c r="I6" s="2">
        <f>SUM(C110:C110,C113,C116,C118,C129,C134,C142,C151,C153)</f>
        <v>260</v>
      </c>
      <c r="J6" s="3">
        <v>46193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0" t="s">
        <v>21</v>
      </c>
      <c r="I7" s="16">
        <f>SUM(C11,C16,C29,C25,C62,C81:C81)</f>
        <v>239.66</v>
      </c>
      <c r="J7" s="3">
        <v>45829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15</v>
      </c>
      <c r="C10" s="13">
        <v>39</v>
      </c>
      <c r="D10" s="14">
        <f>SUM(C3:C10)</f>
        <v>63.93</v>
      </c>
      <c r="E10" s="9"/>
      <c r="G10" s="15">
        <v>8</v>
      </c>
      <c r="H10" s="1" t="s">
        <v>26</v>
      </c>
      <c r="I10" s="2">
        <f>SUM(C133,C143,C147,C155)</f>
        <v>63.32</v>
      </c>
      <c r="J10" s="3">
        <v>46196</v>
      </c>
      <c r="K10" t="s">
        <v>27</v>
      </c>
    </row>
    <row r="11" spans="1:11">
      <c r="A11" s="17">
        <v>44781</v>
      </c>
      <c r="B11" s="8" t="s">
        <v>21</v>
      </c>
      <c r="C11" s="13">
        <v>130</v>
      </c>
      <c r="D11" s="14">
        <f>SUM(C3:C11)</f>
        <v>193.93</v>
      </c>
      <c r="E11" s="9" t="s">
        <v>28</v>
      </c>
      <c r="G11" s="15">
        <v>9</v>
      </c>
      <c r="H11" s="10" t="s">
        <v>29</v>
      </c>
      <c r="I11" s="2">
        <f>SUM(C86,C101,C105,C107,C112,C119,C124)</f>
        <v>52.01</v>
      </c>
      <c r="J11" s="3">
        <v>46047</v>
      </c>
      <c r="K11" t="s">
        <v>30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31</v>
      </c>
      <c r="G12" s="15">
        <v>10</v>
      </c>
      <c r="H12" s="10" t="s">
        <v>22</v>
      </c>
      <c r="I12" s="16">
        <f>SUM(C8:C8,C47,C45,C50:C50)</f>
        <v>49</v>
      </c>
      <c r="J12" s="3">
        <v>45505</v>
      </c>
      <c r="K12" t="s">
        <v>30</v>
      </c>
    </row>
    <row r="13" spans="1:11">
      <c r="A13" s="17">
        <v>44787</v>
      </c>
      <c r="B13" s="8" t="s">
        <v>32</v>
      </c>
      <c r="C13" s="13">
        <v>5.02</v>
      </c>
      <c r="D13" s="14">
        <f>SUM(C3:C13)</f>
        <v>-0.0499999999999936</v>
      </c>
      <c r="E13" s="9"/>
      <c r="G13" s="15">
        <v>11</v>
      </c>
      <c r="H13" s="10" t="s">
        <v>12</v>
      </c>
      <c r="I13" s="16">
        <f>SUM(C3,C20:C20,C38,C104,C111)</f>
        <v>39</v>
      </c>
      <c r="J13" s="3">
        <v>45968</v>
      </c>
      <c r="K13" t="s">
        <v>30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33</v>
      </c>
      <c r="G14" s="15">
        <v>12</v>
      </c>
      <c r="H14" s="10" t="s">
        <v>34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15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21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15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15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15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21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21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62</v>
      </c>
      <c r="I30" s="2">
        <v>5.04</v>
      </c>
      <c r="J30" s="3">
        <v>46160</v>
      </c>
    </row>
    <row r="31" spans="1:10">
      <c r="A31" s="17">
        <v>45341</v>
      </c>
      <c r="B31" s="8" t="s">
        <v>15</v>
      </c>
      <c r="C31" s="13">
        <v>68</v>
      </c>
      <c r="D31" s="14">
        <f>SUM(C3:C31)</f>
        <v>-272.11</v>
      </c>
      <c r="E31" s="9" t="s">
        <v>63</v>
      </c>
      <c r="G31">
        <v>29</v>
      </c>
      <c r="H31" s="10" t="s">
        <v>32</v>
      </c>
      <c r="I31" s="16">
        <v>5.02</v>
      </c>
      <c r="J31" s="3">
        <v>44787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</row>
    <row r="36" spans="1:10">
      <c r="A36" s="17">
        <v>45403</v>
      </c>
      <c r="B36" s="8" t="s">
        <v>15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43</v>
      </c>
      <c r="I42" s="16">
        <v>1.32</v>
      </c>
      <c r="J42" s="3">
        <v>44958</v>
      </c>
    </row>
    <row r="43" spans="1:10">
      <c r="A43" s="17"/>
      <c r="B43" s="8" t="s">
        <v>15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</row>
    <row r="44" spans="1:10">
      <c r="A44" s="25">
        <v>45495</v>
      </c>
      <c r="B44" s="26" t="s">
        <v>13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49</v>
      </c>
      <c r="I44" s="16">
        <v>1.01</v>
      </c>
      <c r="J44" s="3">
        <v>45141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</row>
    <row r="46" spans="1:10">
      <c r="A46" s="29"/>
      <c r="B46" s="26" t="s">
        <v>34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</row>
    <row r="48" spans="1:10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</row>
    <row r="49" spans="1:10">
      <c r="A49" s="31"/>
      <c r="B49" s="26" t="s">
        <v>13</v>
      </c>
      <c r="C49" s="27">
        <v>5</v>
      </c>
      <c r="D49" s="30"/>
      <c r="E49" s="28" t="s">
        <v>69</v>
      </c>
      <c r="G49">
        <v>47</v>
      </c>
      <c r="H49" s="10" t="s">
        <v>47</v>
      </c>
      <c r="I49" s="16">
        <v>0.11</v>
      </c>
      <c r="J49" s="3">
        <v>45140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</row>
    <row r="51" spans="1:10">
      <c r="A51" s="25">
        <v>45507</v>
      </c>
      <c r="B51" s="26" t="s">
        <v>13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88</v>
      </c>
    </row>
    <row r="53" spans="1:10">
      <c r="A53" s="25">
        <v>45508</v>
      </c>
      <c r="B53" s="26" t="s">
        <v>13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0">
      <c r="A56" s="31"/>
      <c r="B56" s="26" t="s">
        <v>34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0">
      <c r="A58" s="25">
        <v>45525</v>
      </c>
      <c r="B58" s="33" t="s">
        <v>13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0">
      <c r="A60" s="25">
        <v>45549</v>
      </c>
      <c r="B60" s="33" t="s">
        <v>13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88</v>
      </c>
    </row>
    <row r="62" spans="1:10">
      <c r="A62" s="31">
        <v>45551</v>
      </c>
      <c r="B62" s="33" t="s">
        <v>21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13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13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13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13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13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34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13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21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29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15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15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13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13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29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29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29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19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29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19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15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19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19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29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29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13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13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19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26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19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13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13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13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19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26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26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13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62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13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19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13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25">
        <v>46193</v>
      </c>
      <c r="B153" s="33" t="s">
        <v>19</v>
      </c>
      <c r="C153" s="27">
        <v>50</v>
      </c>
      <c r="D153" s="21">
        <f>SUM(C3:C153)</f>
        <v>-2944.11</v>
      </c>
      <c r="E153" s="34"/>
    </row>
    <row r="154" spans="1:5">
      <c r="A154" s="31"/>
      <c r="B154" s="33" t="s">
        <v>13</v>
      </c>
      <c r="C154" s="27">
        <v>10</v>
      </c>
      <c r="D154" s="21">
        <f>SUM(C3:C154)</f>
        <v>-2934.11</v>
      </c>
      <c r="E154" s="34" t="s">
        <v>69</v>
      </c>
    </row>
    <row r="155" spans="1:5">
      <c r="A155" s="25">
        <v>46196</v>
      </c>
      <c r="B155" s="33" t="s">
        <v>26</v>
      </c>
      <c r="C155" s="27">
        <v>25</v>
      </c>
      <c r="D155" s="21">
        <f>SUM(C3:C155)</f>
        <v>-2909.11</v>
      </c>
      <c r="E155" s="34" t="s">
        <v>107</v>
      </c>
    </row>
    <row r="156" spans="1:5">
      <c r="A156" s="25">
        <v>46203</v>
      </c>
      <c r="B156" s="33" t="s">
        <v>13</v>
      </c>
      <c r="C156" s="27">
        <v>15</v>
      </c>
      <c r="D156" s="21">
        <f>SUM(C3:C156)</f>
        <v>-2894.11</v>
      </c>
      <c r="E156" s="34" t="s">
        <v>69</v>
      </c>
    </row>
    <row r="157" spans="1:5">
      <c r="A157" s="37"/>
      <c r="B157" s="38"/>
      <c r="C157" s="39"/>
      <c r="D157" s="39"/>
      <c r="E157" s="40"/>
    </row>
    <row r="158" spans="1:5">
      <c r="A158" s="41" t="s">
        <v>113</v>
      </c>
      <c r="B158" s="41"/>
      <c r="C158" s="41"/>
      <c r="D158" s="41"/>
      <c r="E158" s="41"/>
    </row>
  </sheetData>
  <mergeCells count="41">
    <mergeCell ref="A1:E1"/>
    <mergeCell ref="G1:K1"/>
    <mergeCell ref="A158:E158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A153:A154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{e5c4ff38-cdbc-41f8-8111-33f11db47b07}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{ce6dd5b1-4f3b-44b3-845e-6501d65dbe3b}</x14:id>
        </ext>
      </extLst>
    </cfRule>
  </conditionalFormatting>
  <conditionalFormatting sqref="D1:D18 D20:D23 D25:D26 D28:D42 D44:D45 D47:D48 D50:D51 D53 D55 D57:D60 D62:D64 D66:D73 D75:D92 D95:D98 D103:D157 D159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{7cd5f738-6c50-4ccb-b258-52bf47f3ed12}</x14:id>
        </ext>
      </extLst>
    </cfRule>
  </conditionalFormatting>
  <conditionalFormatting sqref="I1:I9 I20:I24 I26:I1048576 I11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{95b38337-a990-4a02-8b6c-53d3265a49b8}</x14:id>
        </ext>
      </extLst>
    </cfRule>
  </conditionalFormatting>
  <conditionalFormatting sqref="I1:I9 I20:I23 I26:I1048576 I11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{53a33225-ebb9-4a41-abe2-2097e60ddc6e}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{8aea5306-ef65-4627-8a66-58534deca117}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{fb5b2f57-9451-49d9-b9a7-8d95f3248618}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{a7f0002a-c702-415b-8169-4efa03b19759}</x14:id>
        </ext>
      </extLst>
    </cfRule>
  </conditionalFormatting>
  <conditionalFormatting sqref="I2:I5 I26:I37 I9 I7 I39:I1048576 I11:I18 I20:I23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{ec983c11-db64-44bb-b541-b023879829a4}</x14:id>
        </ext>
      </extLst>
    </cfRule>
  </conditionalFormatting>
  <conditionalFormatting sqref="I2:I5 I9 I26:I37 I11:I16 I39:I1048576 I7 I18 I20:I2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{6f26c968-cebe-41cf-9944-480d0cdba0e5}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2:I47 I3:I5 I7 I39:I40 I9 I31:I33 I28 I18 I12:I14 I26 I20:I23 I49:I50 I36:I37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{7f0f6380-d4a2-4554-ac5a-7561718da915}</x14:id>
        </ext>
      </extLst>
    </cfRule>
  </conditionalFormatting>
  <conditionalFormatting sqref="I42:I47 I3:I5 I7 I39:I40 I9 I31:I33 I28 I18 I12:I14 I20:I23 I49:I50 I36:I37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{66bf1551-707f-44d6-8349-d1a8b8d45347}</x14:id>
        </ext>
      </extLst>
    </cfRule>
  </conditionalFormatting>
  <conditionalFormatting sqref="I39:I40 I3:I5 I7 I36:I37 I9 I31:I33 I28 I18 I12:I14 I16 I26 I20:I23 I42:I47 I49:I50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{35c887f0-183e-4c36-86fa-750de5b9b432}</x14:id>
        </ext>
      </extLst>
    </cfRule>
  </conditionalFormatting>
  <conditionalFormatting sqref="I36:I37 I3:I5 I7 I31:I34 I9 I42:I50 I26 I18 I28:I29 I11:I14 I16 I20:I23 I39:I40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{efe36e69-62a3-49c6-89aa-66ac6042bffd}</x14:id>
        </ext>
      </extLst>
    </cfRule>
  </conditionalFormatting>
  <conditionalFormatting sqref="I39:I40 I3:I5 I7 I36:I37 I9 I31:I33 I26 I18 I11:I14 I16 I20:I23 I28:I29 I42:I47 I49:I50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{949e63e7-0ac7-49fd-83ca-769992c8a405}</x14:id>
        </ext>
      </extLst>
    </cfRule>
  </conditionalFormatting>
  <conditionalFormatting sqref="I39:I50 I3:I5 I7 I31:I37 I9 I11:I16 I20:I23 I18 I26:I2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{2734b6f8-fa33-42fb-ae76-07e65bd29087}</x14:id>
        </ext>
      </extLst>
    </cfRule>
  </conditionalFormatting>
  <conditionalFormatting sqref="I39:I50 I3:I5 I7 I31:I37 I9 I28:I29 I26 I18 I20:I23 I11:I16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{2d27626d-e539-4df3-aa87-7da12d7d1936}</x14:id>
        </ext>
      </extLst>
    </cfRule>
  </conditionalFormatting>
  <conditionalFormatting sqref="I31:I37 I3:I5 I7 I39:I50 I9 I26:I29 I20:I23 I11:I18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{bfcb78ce-6c53-47c0-b93a-0007575ce03b}</x14:id>
        </ext>
      </extLst>
    </cfRule>
  </conditionalFormatting>
  <conditionalFormatting sqref="I11:I18 I3:I7 I26:I29 I31:I50 I9 I20:I2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{59449685-1156-4c2f-99ed-6bf406b56117}</x14:id>
        </ext>
      </extLst>
    </cfRule>
  </conditionalFormatting>
  <conditionalFormatting sqref="I26:I29 I3:I7 I39:I50 I31:I37 I9 I11:I18 I20:I23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{80e88f1d-7691-46ce-8bde-4fe95a1daa20}</x14:id>
        </ext>
      </extLst>
    </cfRule>
  </conditionalFormatting>
  <conditionalFormatting sqref="I26:I29 I3:I24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{65951809-2866-4b2a-bf50-7c9f0209d743}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c4ff38-cdbc-41f8-8111-33f11db47b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ce6dd5b1-4f3b-44b3-845e-6501d65dbe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7cd5f738-6c50-4ccb-b258-52bf47f3ed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95b38337-a990-4a02-8b6c-53d3265a4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I20:I24 I26:I1048576 I11:I18</xm:sqref>
        </x14:conditionalFormatting>
        <x14:conditionalFormatting xmlns:xm="http://schemas.microsoft.com/office/excel/2006/main">
          <x14:cfRule type="dataBar" id="{53a33225-ebb9-4a41-abe2-2097e60ddc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I1:I9 I20:I23 I26:I1048576 I11:I18</xm:sqref>
        </x14:conditionalFormatting>
        <x14:conditionalFormatting xmlns:xm="http://schemas.microsoft.com/office/excel/2006/main">
          <x14:cfRule type="dataBar" id="{8aea5306-ef65-4627-8a66-58534deca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fb5b2f57-9451-49d9-b9a7-8d95f324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a7f0002a-c702-415b-8169-4efa03b19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ec983c11-db64-44bb-b541-b023879829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I26:I37 I9 I7 I39:I1048576 I11:I18 I20:I23</xm:sqref>
        </x14:conditionalFormatting>
        <x14:conditionalFormatting xmlns:xm="http://schemas.microsoft.com/office/excel/2006/main">
          <x14:cfRule type="dataBar" id="{6f26c968-cebe-41cf-9944-480d0cdba0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I2:I5 I9 I26:I37 I11:I16 I39:I1048576 I7 I18 I20:I23</xm:sqref>
        </x14:conditionalFormatting>
        <x14:conditionalFormatting xmlns:xm="http://schemas.microsoft.com/office/excel/2006/main">
          <x14:cfRule type="dataBar" id="{7f0f6380-d4a2-4554-ac5a-7561718da9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I26 I20:I23 I49:I50 I36:I37</xm:sqref>
        </x14:conditionalFormatting>
        <x14:conditionalFormatting xmlns:xm="http://schemas.microsoft.com/office/excel/2006/main">
          <x14:cfRule type="dataBar" id="{66bf1551-707f-44d6-8349-d1a8b8d45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I42:I47 I3:I5 I7 I39:I40 I9 I31:I33 I28 I18 I12:I14 I20:I23 I49:I50 I36:I37</xm:sqref>
        </x14:conditionalFormatting>
        <x14:conditionalFormatting xmlns:xm="http://schemas.microsoft.com/office/excel/2006/main">
          <x14:cfRule type="dataBar" id="{35c887f0-183e-4c36-86fa-750de5b9b4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I28 I18 I12:I14 I16 I26 I20:I23 I42:I47 I49:I50</xm:sqref>
        </x14:conditionalFormatting>
        <x14:conditionalFormatting xmlns:xm="http://schemas.microsoft.com/office/excel/2006/main">
          <x14:cfRule type="dataBar" id="{efe36e69-62a3-49c6-89aa-66ac6042bf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I36:I37 I3:I5 I7 I31:I34 I9 I42:I50 I26 I18 I28:I29 I11:I14 I16 I20:I23 I39:I40</xm:sqref>
        </x14:conditionalFormatting>
        <x14:conditionalFormatting xmlns:xm="http://schemas.microsoft.com/office/excel/2006/main">
          <x14:cfRule type="dataBar" id="{949e63e7-0ac7-49fd-83ca-769992c8a4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I39:I40 I3:I5 I7 I36:I37 I9 I31:I33 I26 I18 I11:I14 I16 I20:I23 I28:I29 I42:I47 I49:I50</xm:sqref>
        </x14:conditionalFormatting>
        <x14:conditionalFormatting xmlns:xm="http://schemas.microsoft.com/office/excel/2006/main">
          <x14:cfRule type="dataBar" id="{2734b6f8-fa33-42fb-ae76-07e65bd290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I11:I16 I20:I23 I18 I26:I29</xm:sqref>
        </x14:conditionalFormatting>
        <x14:conditionalFormatting xmlns:xm="http://schemas.microsoft.com/office/excel/2006/main">
          <x14:cfRule type="dataBar" id="{2d27626d-e539-4df3-aa87-7da12d7d19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I39:I50 I3:I5 I7 I31:I37 I9 I28:I29 I26 I18 I20:I23 I11:I16</xm:sqref>
        </x14:conditionalFormatting>
        <x14:conditionalFormatting xmlns:xm="http://schemas.microsoft.com/office/excel/2006/main">
          <x14:cfRule type="dataBar" id="{bfcb78ce-6c53-47c0-b93a-0007575ce0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I31:I37 I3:I5 I7 I39:I50 I9 I26:I29 I20:I23 I11:I18</xm:sqref>
        </x14:conditionalFormatting>
        <x14:conditionalFormatting xmlns:xm="http://schemas.microsoft.com/office/excel/2006/main">
          <x14:cfRule type="dataBar" id="{59449685-1156-4c2f-99ed-6bf406b56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I11:I18 I3:I7 I26:I29 I31:I50 I9 I20:I23</xm:sqref>
        </x14:conditionalFormatting>
        <x14:conditionalFormatting xmlns:xm="http://schemas.microsoft.com/office/excel/2006/main">
          <x14:cfRule type="dataBar" id="{80e88f1d-7691-46ce-8bde-4fe95a1d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I3:I7 I39:I50 I31:I37 I9 I11:I18 I20:I23</xm:sqref>
        </x14:conditionalFormatting>
        <x14:conditionalFormatting xmlns:xm="http://schemas.microsoft.com/office/excel/2006/main">
          <x14:cfRule type="dataBar" id="{65951809-2866-4b2a-bf50-7c9f0209d7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I26:I29 I3:I24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4"/>
  <cols>
    <col min="1" max="1" width="11.5" customWidth="1"/>
    <col min="2" max="2" width="8.12727272727273" customWidth="1"/>
    <col min="3" max="3" width="8.87272727272727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WPS_1664072361</cp:lastModifiedBy>
  <dcterms:created xsi:type="dcterms:W3CDTF">2022-09-24T12:08:00Z</dcterms:created>
  <dcterms:modified xsi:type="dcterms:W3CDTF">2026-06-30T12:13:05Z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