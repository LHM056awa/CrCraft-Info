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收支与赞助鸣谢" sheetId="1" r:id="rId1"/>
    <sheet name="服主的投资和欠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<sst xmlns="http://schemas.openxmlformats.org/spreadsheetml/2006/main" count="275" uniqueCount="110">
  <si>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</si>
  <si>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</si>
  <si>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</si>
  <si>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</si>
  <si>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</si>
  <si>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</si>
  <si>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</si>
  <si>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</si>
  <si>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</si>
  <si>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</si>
  <si>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</si>
  <si>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</si>
  <si>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</si>
  <si>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</si>
  <si>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</si>
  <si>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</si>
  <si>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</si>
  <si>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qmzp_</t>
  </si>
  <si>
    <t>Mtve</t>
  </si>
  <si>
    <t>Disha_UUU2</t>
  </si>
  <si>
    <t>zkiftie</t>
  </si>
  <si>
    <t>dog</t>
  </si>
  <si>
    <t>_LoveSelf_</t>
  </si>
  <si>
    <t>KIRINIT</t>
  </si>
  <si>
    <t>NGZI</t>
  </si>
  <si>
    <t>Guramchik</t>
  </si>
  <si>
    <t>partyking1145</t>
  </si>
  <si>
    <t>用于购买内存条</t>
  </si>
  <si>
    <t>购买内存条</t>
  </si>
  <si>
    <t>xiaoshenjin233</t>
  </si>
  <si>
    <t>rocksuger</t>
  </si>
  <si>
    <t>主板、硬盘、机箱</t>
  </si>
  <si>
    <t>SNHGY</t>
  </si>
  <si>
    <t>↑10</t>
  </si>
  <si>
    <t>物品、电费</t>
  </si>
  <si>
    <t>Sz05</t>
  </si>
  <si>
    <t>↓1</t>
  </si>
  <si>
    <t>Y37MzZ_TrusT</t>
  </si>
  <si>
    <t>woshixiaoliu_ovo</t>
  </si>
  <si>
    <t>10天群管理员</t>
  </si>
  <si>
    <t>cgh</t>
  </si>
  <si>
    <t>潜影盒、鞘翅、凋灵骷髅头颅</t>
  </si>
  <si>
    <t>匿名玩家</t>
  </si>
  <si>
    <t>Xs1st_</t>
  </si>
  <si>
    <t>chunfeng</t>
  </si>
  <si>
    <t>火药、遗物</t>
  </si>
  <si>
    <t>KAMI</t>
  </si>
  <si>
    <t>Alhion_WWW</t>
  </si>
  <si>
    <t>91kk</t>
  </si>
  <si>
    <t>darkmoon114514</t>
  </si>
  <si>
    <t>moqi</t>
  </si>
  <si>
    <t>3组烟花</t>
  </si>
  <si>
    <t>wybhh51811</t>
  </si>
  <si>
    <t>Goocheu_fox</t>
  </si>
  <si>
    <t>捐樱花映射VIP</t>
  </si>
  <si>
    <t>Cr_Dragon</t>
  </si>
  <si>
    <t>樱花映射VIP</t>
  </si>
  <si>
    <t>XL12</t>
  </si>
  <si>
    <t>5下界合金锭</t>
  </si>
  <si>
    <t>Onion520</t>
  </si>
  <si>
    <t>拍卖账号</t>
  </si>
  <si>
    <t>lhl</t>
  </si>
  <si>
    <t>鞘翅、TP、电费、羊毛、村民、TNT</t>
  </si>
  <si>
    <t>xhf</t>
  </si>
  <si>
    <t>电费、经验</t>
  </si>
  <si>
    <t>YuSaMa1145</t>
  </si>
  <si>
    <t>hanfengzunzhe</t>
  </si>
  <si>
    <t>书架、紫珀块</t>
  </si>
  <si>
    <t>电费</t>
  </si>
  <si>
    <t>Mo_Xuan_Yu</t>
  </si>
  <si>
    <t>10书架</t>
  </si>
  <si>
    <t>xiaomin</t>
  </si>
  <si>
    <t>拍卖账号等</t>
  </si>
  <si>
    <t>A1TanJZ</t>
  </si>
  <si>
    <t>前哨战坐标等</t>
  </si>
  <si>
    <t>kim</t>
  </si>
  <si>
    <t>主板、CPU、电源、机械硬盘</t>
  </si>
  <si>
    <t>海绵、电费、鞘翅、遗物</t>
  </si>
  <si>
    <t>村民</t>
  </si>
  <si>
    <t>littlefish1688</t>
  </si>
  <si>
    <t>4不详宝库</t>
  </si>
  <si>
    <t>QSWY_MC</t>
  </si>
  <si>
    <t>2村民蛋</t>
  </si>
  <si>
    <t>CHYunyou</t>
  </si>
  <si>
    <t>鞘翅、神镐</t>
  </si>
  <si>
    <t>电费、染料</t>
  </si>
  <si>
    <t>遗物</t>
  </si>
  <si>
    <t>映射VIP</t>
  </si>
  <si>
    <t>村民、霰弹枪、电费、遗物</t>
  </si>
  <si>
    <t>村民蛋</t>
  </si>
  <si>
    <t>龙蛋</t>
  </si>
  <si>
    <t>弩、电费</t>
  </si>
  <si>
    <t>6村民 3僵尸</t>
  </si>
  <si>
    <t>装备</t>
  </si>
  <si>
    <t>拍卖</t>
  </si>
  <si>
    <t>1盒沙砾、13组染料、4盒石英块</t>
  </si>
  <si>
    <t>750W影驰白牌80plus电源</t>
  </si>
  <si>
    <t>重锤</t>
  </si>
  <si>
    <t>4*风爆I</t>
  </si>
  <si>
    <t>7盒海晶灯1盒海晶石砖台阶</t>
  </si>
  <si>
    <t>3盒图腾+1鞘翅</t>
  </si>
  <si>
    <t>4组烟花</t>
  </si>
  <si>
    <t>幽静</t>
  </si>
  <si>
    <t>虚拟机</t>
  </si>
  <si>
    <t>鞘翅+风爆+烟花</t>
  </si>
  <si>
    <t>钻石、青金石</t>
  </si>
  <si>
    <t>鞘翅</t>
  </si>
  <si>
    <t>经验修补、三叉戟、鞘翅、风爆</t>
  </si>
  <si>
    <t>图腾、风爆、破甲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</si>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</sst>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right"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39"/>
  <sheetViews>
    <sheetView tabSelected="1" workbookViewId="0">
      <pane ySplit="2" topLeftCell="A3" activePane="bottomLeft" state="frozen"/>
      <selection/>
      <selection pane="bottomLeft" activeCell="M26" sqref="M26"/>
    </sheetView>
  </sheetViews>
  <sheetFormatPr defaultColWidth="9" defaultRowHeight="13.5"/>
  <cols>
    <col min="1" max="1" width="15.625" customWidth="1"/>
    <col min="2" max="2" width="18.2583333333333" style="1" customWidth="1"/>
    <col min="3" max="3" width="10.875" customWidth="1"/>
    <col min="4" max="4" width="9.375" customWidth="1"/>
    <col min="5" max="5" width="33.125" customWidth="1"/>
    <col min="7" max="7" width="5.125" customWidth="1"/>
    <col min="8" max="8" width="18.2583333333333" customWidth="1"/>
    <col min="9" max="9" width="12.875" style="2" customWidth="1"/>
    <col min="10" max="10" width="15.625" style="3" customWidth="1"/>
    <col min="11" max="11" width="5.125" customWidth="1"/>
    <col min="13" max="13" width="15.625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11" t="s">
        <v>9</v>
      </c>
      <c r="J2" s="3" t="s">
        <v>2</v>
      </c>
      <c r="K2" t="s">
        <v>10</v>
      </c>
    </row>
    <row r="3" spans="1:11">
      <c r="A3" s="12" t="s">
        <v>11</v>
      </c>
      <c r="B3" s="8" t="s">
        <v>12</v>
      </c>
      <c r="C3" s="13">
        <v>9</v>
      </c>
      <c r="D3" s="14">
        <f>SUM(C3:C6)</f>
        <v>14.55</v>
      </c>
      <c r="E3" s="9"/>
      <c r="G3" s="15">
        <v>1</v>
      </c>
      <c r="H3" s="10" t="s">
        <v>13</v>
      </c>
      <c r="I3" s="16">
        <f>SUM(C10,C15,C18:C18,C21:C21,C24,C31:C31,C36,C43,C88,C90,C114)</f>
        <v>504.2</v>
      </c>
      <c r="J3" s="3">
        <v>45975</v>
      </c>
    </row>
    <row r="4" spans="1:11">
      <c r="A4" s="12"/>
      <c r="B4" s="8" t="s">
        <v>14</v>
      </c>
      <c r="C4" s="13">
        <v>0.55</v>
      </c>
      <c r="D4" s="14"/>
      <c r="E4" s="9"/>
      <c r="G4" s="15">
        <v>2</v>
      </c>
      <c r="H4" s="10" t="s">
        <v>15</v>
      </c>
      <c r="I4" s="16">
        <f>SUM(C44,C49,C51:C51,C53,C58:C58,C60:C60,C63,C66:C66,C68:C68,C70,C72:C72,C77,C91,C95,C125,C127,C136)</f>
        <v>342</v>
      </c>
      <c r="J4" s="3">
        <v>46079</v>
      </c>
    </row>
    <row r="5" spans="1:11">
      <c r="A5" s="12"/>
      <c r="B5" s="8" t="s">
        <v>16</v>
      </c>
      <c r="C5" s="13">
        <v>2</v>
      </c>
      <c r="D5" s="14"/>
      <c r="E5" s="9"/>
      <c r="G5" s="15">
        <v>3</v>
      </c>
      <c r="H5" s="10" t="s">
        <v>17</v>
      </c>
      <c r="I5" s="16">
        <f>SUM(C28:C28,C32:C32,C34:C34,C37,C39,C42:C42,C54,C57,C59,C61,C67,C69,C71,C76)</f>
        <v>285.96</v>
      </c>
      <c r="J5" s="3">
        <v>45654</v>
      </c>
    </row>
    <row r="6" spans="1:11">
      <c r="A6" s="12"/>
      <c r="B6" s="8" t="s">
        <v>18</v>
      </c>
      <c r="C6" s="13">
        <v>3</v>
      </c>
      <c r="D6" s="14"/>
      <c r="E6" s="9"/>
      <c r="G6" s="15">
        <v>4</v>
      </c>
      <c r="H6" s="10" t="s">
        <v>19</v>
      </c>
      <c r="I6" s="16">
        <f>SUM(C11,C16,C29,C25,C62,C81:C81)</f>
        <v>239.66</v>
      </c>
      <c r="J6" s="3">
        <v>45829</v>
      </c>
    </row>
    <row r="7" spans="1:11">
      <c r="A7" s="12"/>
      <c r="B7" s="8" t="s">
        <v>20</v>
      </c>
      <c r="C7" s="13">
        <v>1.28</v>
      </c>
      <c r="D7" s="14"/>
      <c r="E7" s="9"/>
      <c r="G7" s="15">
        <v>5</v>
      </c>
      <c r="H7" s="10" t="s">
        <v>21</v>
      </c>
      <c r="I7" s="2">
        <f>SUM(C121,C123,C126,C128,C131)</f>
        <v>195</v>
      </c>
      <c r="J7" s="3">
        <v>46069</v>
      </c>
    </row>
    <row r="8" spans="1:11">
      <c r="A8" s="17">
        <v>44164</v>
      </c>
      <c r="B8" s="8" t="s">
        <v>22</v>
      </c>
      <c r="C8" s="13">
        <v>9</v>
      </c>
      <c r="D8" s="14">
        <f>SUM(C3:C8)</f>
        <v>24.83</v>
      </c>
      <c r="E8" s="9"/>
      <c r="G8" s="15">
        <v>6</v>
      </c>
      <c r="H8" s="1" t="s">
        <v>23</v>
      </c>
      <c r="I8" s="2">
        <f>SUM(C110:C110,C113,C116,C118,C129,C134)</f>
        <v>190</v>
      </c>
      <c r="J8" s="3">
        <v>46070</v>
      </c>
    </row>
    <row r="9" spans="1:11">
      <c r="A9" s="17">
        <v>44213</v>
      </c>
      <c r="B9" s="8" t="s">
        <v>24</v>
      </c>
      <c r="C9" s="13">
        <v>0.1</v>
      </c>
      <c r="D9" s="14">
        <f>SUM(C3:C9)</f>
        <v>24.93</v>
      </c>
      <c r="E9" s="9"/>
      <c r="G9" s="15">
        <v>7</v>
      </c>
      <c r="H9" s="10" t="s">
        <v>25</v>
      </c>
      <c r="I9" s="16">
        <f>SUM(C52,C65)</f>
        <v>106</v>
      </c>
      <c r="J9" s="3">
        <v>45555</v>
      </c>
    </row>
    <row r="10" spans="1:11">
      <c r="A10" s="17">
        <v>44774</v>
      </c>
      <c r="B10" s="8" t="s">
        <v>13</v>
      </c>
      <c r="C10" s="13">
        <v>39</v>
      </c>
      <c r="D10" s="14">
        <f>SUM(C3:C10)</f>
        <v>63.93</v>
      </c>
      <c r="E10" s="9"/>
      <c r="G10" s="15">
        <v>8</v>
      </c>
      <c r="H10" s="10" t="s">
        <v>26</v>
      </c>
      <c r="I10" s="2">
        <f>SUM(C86,C101,C105,C107,C112,C119,C124)</f>
        <v>52.01</v>
      </c>
      <c r="J10" s="3">
        <v>46047</v>
      </c>
    </row>
    <row r="11" spans="1:11">
      <c r="A11" s="17">
        <v>44781</v>
      </c>
      <c r="B11" s="8" t="s">
        <v>19</v>
      </c>
      <c r="C11" s="13">
        <v>130</v>
      </c>
      <c r="D11" s="14">
        <f>SUM(C3:C11)</f>
        <v>193.93</v>
      </c>
      <c r="E11" s="9" t="s">
        <v>27</v>
      </c>
      <c r="G11" s="15">
        <v>9</v>
      </c>
      <c r="H11" s="10" t="s">
        <v>22</v>
      </c>
      <c r="I11" s="16">
        <f>SUM(C8:C8,C47,C45,C50:C50)</f>
        <v>49</v>
      </c>
      <c r="J11" s="3">
        <v>45505</v>
      </c>
    </row>
    <row r="12" spans="1:11">
      <c r="A12" s="17">
        <v>44782</v>
      </c>
      <c r="B12" s="8"/>
      <c r="C12" s="18">
        <v>-199</v>
      </c>
      <c r="D12" s="19">
        <f>SUM(C3:C12)</f>
        <v>-5.06999999999999</v>
      </c>
      <c r="E12" s="9" t="s">
        <v>28</v>
      </c>
      <c r="G12" s="15">
        <v>10</v>
      </c>
      <c r="H12" s="10" t="s">
        <v>12</v>
      </c>
      <c r="I12" s="16">
        <f>SUM(C3,C20:C20,C38,C104,C111)</f>
        <v>39</v>
      </c>
      <c r="J12" s="3">
        <v>45968</v>
      </c>
    </row>
    <row r="13" spans="1:11">
      <c r="A13" s="17">
        <v>44787</v>
      </c>
      <c r="B13" s="8" t="s">
        <v>29</v>
      </c>
      <c r="C13" s="13">
        <v>5.02</v>
      </c>
      <c r="D13" s="14">
        <f>SUM(C3:C13)</f>
        <v>-0.0499999999999936</v>
      </c>
      <c r="E13" s="9"/>
      <c r="G13" s="15">
        <v>11</v>
      </c>
      <c r="H13" s="10" t="s">
        <v>30</v>
      </c>
      <c r="I13" s="16">
        <f>SUM(C56,C46,C74)</f>
        <v>23</v>
      </c>
      <c r="J13" s="3">
        <v>45634</v>
      </c>
    </row>
    <row r="14" spans="1:11">
      <c r="A14" s="17">
        <v>44827</v>
      </c>
      <c r="B14" s="8"/>
      <c r="C14" s="18">
        <v>-780</v>
      </c>
      <c r="D14" s="14">
        <f>SUM(C3:C14)</f>
        <v>-780.05</v>
      </c>
      <c r="E14" s="9" t="s">
        <v>31</v>
      </c>
      <c r="G14" s="15">
        <v>12</v>
      </c>
      <c r="H14" s="10" t="s">
        <v>32</v>
      </c>
      <c r="I14" s="2">
        <f>SUM(C99,C109,C130,C137)</f>
        <v>17.45</v>
      </c>
      <c r="J14" s="3">
        <v>46085</v>
      </c>
      <c r="K14" t="s">
        <v>33</v>
      </c>
    </row>
    <row r="15" spans="1:11">
      <c r="A15" s="17">
        <v>44926</v>
      </c>
      <c r="B15" s="8" t="s">
        <v>13</v>
      </c>
      <c r="C15" s="13">
        <v>120</v>
      </c>
      <c r="D15" s="20">
        <f>SUM(C3:C15)</f>
        <v>-660.05</v>
      </c>
      <c r="E15" s="9" t="s">
        <v>34</v>
      </c>
      <c r="G15" s="15">
        <v>13</v>
      </c>
      <c r="H15" s="10" t="s">
        <v>35</v>
      </c>
      <c r="I15" s="2">
        <f>SUM(C85:C85,C89,C96:C98,C117,C120,C122)</f>
        <v>17.34</v>
      </c>
      <c r="J15" s="3">
        <v>46039</v>
      </c>
      <c r="K15" t="s">
        <v>36</v>
      </c>
    </row>
    <row r="16" spans="1:11">
      <c r="A16" s="17">
        <v>44946</v>
      </c>
      <c r="B16" s="8" t="s">
        <v>19</v>
      </c>
      <c r="C16" s="13">
        <v>13</v>
      </c>
      <c r="D16" s="14">
        <f>SUM(C3:C16)</f>
        <v>-647.05</v>
      </c>
      <c r="E16" s="9"/>
      <c r="G16" s="15">
        <v>14</v>
      </c>
      <c r="H16" s="1" t="s">
        <v>37</v>
      </c>
      <c r="I16" s="2">
        <v>15</v>
      </c>
      <c r="J16" s="3">
        <v>45930</v>
      </c>
      <c r="K16" t="s">
        <v>36</v>
      </c>
    </row>
    <row r="17" spans="1:11">
      <c r="A17" s="17">
        <v>44953</v>
      </c>
      <c r="B17" s="8" t="s">
        <v>38</v>
      </c>
      <c r="C17" s="13">
        <v>10</v>
      </c>
      <c r="D17" s="20">
        <f>SUM(C3:C17)</f>
        <v>-637.05</v>
      </c>
      <c r="E17" s="9" t="s">
        <v>39</v>
      </c>
      <c r="G17" s="15">
        <v>15</v>
      </c>
      <c r="H17" s="10" t="s">
        <v>40</v>
      </c>
      <c r="I17" s="16">
        <f>SUM(C40,C64)</f>
        <v>11</v>
      </c>
      <c r="J17" s="3">
        <v>45555</v>
      </c>
      <c r="K17" t="s">
        <v>36</v>
      </c>
    </row>
    <row r="18" spans="1:11">
      <c r="A18" s="17">
        <v>44958</v>
      </c>
      <c r="B18" s="8" t="s">
        <v>13</v>
      </c>
      <c r="C18" s="13">
        <f>11+45+29</f>
        <v>85</v>
      </c>
      <c r="D18" s="21">
        <f>SUM(C3:C19)</f>
        <v>-550.73</v>
      </c>
      <c r="E18" s="9" t="s">
        <v>41</v>
      </c>
      <c r="G18" s="15">
        <v>16</v>
      </c>
      <c r="H18" s="10" t="s">
        <v>38</v>
      </c>
      <c r="I18" s="16">
        <v>10</v>
      </c>
      <c r="J18" s="3">
        <v>44953</v>
      </c>
      <c r="K18" t="s">
        <v>36</v>
      </c>
    </row>
    <row r="19" spans="1:11">
      <c r="A19" s="17"/>
      <c r="B19" s="22" t="s">
        <v>42</v>
      </c>
      <c r="C19" s="13">
        <v>1.32</v>
      </c>
      <c r="D19" s="23"/>
      <c r="E19" s="9"/>
      <c r="G19" s="15">
        <v>17</v>
      </c>
      <c r="H19" s="10" t="s">
        <v>43</v>
      </c>
      <c r="I19" s="16">
        <v>10</v>
      </c>
      <c r="J19" s="3">
        <v>45234</v>
      </c>
      <c r="K19" t="s">
        <v>36</v>
      </c>
    </row>
    <row r="20" spans="1:11">
      <c r="A20" s="17">
        <v>44961</v>
      </c>
      <c r="B20" s="8" t="s">
        <v>12</v>
      </c>
      <c r="C20" s="13">
        <v>12</v>
      </c>
      <c r="D20" s="20">
        <f>SUM(C3:C20)</f>
        <v>-538.73</v>
      </c>
      <c r="E20" s="9"/>
      <c r="G20" s="15">
        <v>18</v>
      </c>
      <c r="H20" s="10" t="s">
        <v>44</v>
      </c>
      <c r="I20" s="16">
        <v>10</v>
      </c>
      <c r="J20" s="3">
        <v>45325</v>
      </c>
      <c r="K20" t="s">
        <v>36</v>
      </c>
    </row>
    <row r="21" spans="1:11">
      <c r="A21" s="17">
        <v>45138</v>
      </c>
      <c r="B21" s="8" t="s">
        <v>13</v>
      </c>
      <c r="C21" s="13">
        <f>6+84+10+10</f>
        <v>110</v>
      </c>
      <c r="D21" s="14">
        <f>SUM(C3:C21)</f>
        <v>-428.73</v>
      </c>
      <c r="E21" s="9" t="s">
        <v>45</v>
      </c>
      <c r="G21" s="15">
        <v>19</v>
      </c>
      <c r="H21" s="10" t="s">
        <v>46</v>
      </c>
      <c r="I21" s="16">
        <v>10</v>
      </c>
      <c r="J21" s="3">
        <v>45649</v>
      </c>
      <c r="K21" t="s">
        <v>36</v>
      </c>
    </row>
    <row r="22" spans="1:11">
      <c r="A22" s="17">
        <v>45140</v>
      </c>
      <c r="B22" s="8" t="s">
        <v>47</v>
      </c>
      <c r="C22" s="13">
        <v>0.11</v>
      </c>
      <c r="D22" s="14">
        <f>SUM(C3:C22)</f>
        <v>-428.62</v>
      </c>
      <c r="E22" s="9"/>
      <c r="G22" s="15">
        <v>20</v>
      </c>
      <c r="H22" s="1" t="s">
        <v>48</v>
      </c>
      <c r="I22" s="2">
        <v>10</v>
      </c>
      <c r="J22" s="3">
        <v>46069</v>
      </c>
      <c r="K22" t="s">
        <v>36</v>
      </c>
    </row>
    <row r="23" spans="1:11">
      <c r="A23" s="17">
        <v>45141</v>
      </c>
      <c r="B23" s="8" t="s">
        <v>49</v>
      </c>
      <c r="C23" s="13">
        <v>1.01</v>
      </c>
      <c r="D23" s="21">
        <f>SUM(C3:C24)</f>
        <v>-418.61</v>
      </c>
      <c r="E23" s="9"/>
      <c r="G23" s="15">
        <v>21</v>
      </c>
      <c r="H23" s="1" t="s">
        <v>50</v>
      </c>
      <c r="I23" s="2">
        <v>8.32</v>
      </c>
      <c r="J23" s="3">
        <v>46070</v>
      </c>
      <c r="K23" t="s">
        <v>36</v>
      </c>
    </row>
    <row r="24" spans="1:11">
      <c r="A24" s="17"/>
      <c r="B24" s="8" t="s">
        <v>13</v>
      </c>
      <c r="C24" s="13">
        <v>9</v>
      </c>
      <c r="D24" s="23"/>
      <c r="E24" s="9" t="s">
        <v>51</v>
      </c>
      <c r="G24" s="15">
        <v>22</v>
      </c>
      <c r="H24" s="10" t="s">
        <v>52</v>
      </c>
      <c r="I24" s="2">
        <v>8</v>
      </c>
      <c r="J24" s="3">
        <v>45860</v>
      </c>
      <c r="K24" t="s">
        <v>36</v>
      </c>
    </row>
    <row r="25" spans="1:11">
      <c r="A25" s="17">
        <v>45160</v>
      </c>
      <c r="B25" s="8" t="s">
        <v>19</v>
      </c>
      <c r="C25" s="13">
        <v>3</v>
      </c>
      <c r="D25" s="14">
        <f>SUM(C3:C25)</f>
        <v>-415.61</v>
      </c>
      <c r="E25" s="9"/>
      <c r="G25" s="15">
        <v>23</v>
      </c>
      <c r="H25" s="1" t="s">
        <v>53</v>
      </c>
      <c r="I25" s="2">
        <v>7.33</v>
      </c>
      <c r="J25" s="3">
        <v>45907</v>
      </c>
    </row>
    <row r="26" spans="1:11">
      <c r="A26" s="17">
        <v>45234</v>
      </c>
      <c r="B26" s="8" t="s">
        <v>43</v>
      </c>
      <c r="C26" s="13">
        <v>10</v>
      </c>
      <c r="D26" s="21">
        <f>SUM(C3:C27)</f>
        <v>-415.61</v>
      </c>
      <c r="E26" s="9" t="s">
        <v>54</v>
      </c>
      <c r="G26">
        <v>24</v>
      </c>
      <c r="H26" s="10" t="s">
        <v>55</v>
      </c>
      <c r="I26" s="16">
        <f>SUM(C82,C84,C94)</f>
        <v>6.98</v>
      </c>
      <c r="J26" s="3">
        <v>45861</v>
      </c>
    </row>
    <row r="27" spans="1:11">
      <c r="A27" s="17"/>
      <c r="B27" s="8"/>
      <c r="C27" s="18">
        <v>-10</v>
      </c>
      <c r="D27" s="23"/>
      <c r="E27" s="9" t="s">
        <v>56</v>
      </c>
      <c r="G27">
        <v>25</v>
      </c>
      <c r="H27" s="10" t="s">
        <v>57</v>
      </c>
      <c r="I27" s="2">
        <v>6</v>
      </c>
      <c r="J27" s="3">
        <v>45868</v>
      </c>
    </row>
    <row r="28" spans="1:11">
      <c r="A28" s="17">
        <v>45249</v>
      </c>
      <c r="B28" s="8" t="s">
        <v>17</v>
      </c>
      <c r="C28" s="13">
        <v>15.5</v>
      </c>
      <c r="D28" s="14">
        <f>SUM(C3:C28)</f>
        <v>-400.11</v>
      </c>
      <c r="E28" s="9" t="s">
        <v>58</v>
      </c>
      <c r="G28">
        <v>26</v>
      </c>
      <c r="H28" s="10" t="s">
        <v>29</v>
      </c>
      <c r="I28" s="16">
        <v>5.02</v>
      </c>
      <c r="J28" s="3">
        <v>44787</v>
      </c>
    </row>
    <row r="29" spans="1:11">
      <c r="A29" s="17">
        <v>45305</v>
      </c>
      <c r="B29" s="8" t="s">
        <v>19</v>
      </c>
      <c r="C29" s="13">
        <v>50</v>
      </c>
      <c r="D29" s="14">
        <f>SUM(C3:C29)</f>
        <v>-350.11</v>
      </c>
      <c r="E29" s="9"/>
      <c r="G29">
        <v>27</v>
      </c>
      <c r="H29" s="10" t="s">
        <v>59</v>
      </c>
      <c r="I29" s="16">
        <v>5</v>
      </c>
      <c r="J29" s="3">
        <v>45634</v>
      </c>
    </row>
    <row r="30" spans="1:11">
      <c r="A30" s="17">
        <v>45325</v>
      </c>
      <c r="B30" s="8" t="s">
        <v>44</v>
      </c>
      <c r="C30" s="13">
        <v>10</v>
      </c>
      <c r="D30" s="20">
        <f>SUM(C3:C30)</f>
        <v>-340.11</v>
      </c>
      <c r="E30" s="9" t="s">
        <v>60</v>
      </c>
      <c r="G30">
        <v>28</v>
      </c>
      <c r="H30" s="10" t="s">
        <v>61</v>
      </c>
      <c r="I30" s="16">
        <v>4.15</v>
      </c>
      <c r="J30" s="3">
        <v>45707</v>
      </c>
    </row>
    <row r="31" spans="1:11">
      <c r="A31" s="17">
        <v>45341</v>
      </c>
      <c r="B31" s="8" t="s">
        <v>13</v>
      </c>
      <c r="C31" s="13">
        <v>68</v>
      </c>
      <c r="D31" s="14">
        <f>SUM(C3:C31)</f>
        <v>-272.11</v>
      </c>
      <c r="E31" s="9" t="s">
        <v>62</v>
      </c>
      <c r="G31">
        <v>29</v>
      </c>
      <c r="H31" s="10" t="s">
        <v>63</v>
      </c>
      <c r="I31" s="2">
        <v>4</v>
      </c>
      <c r="J31" s="3">
        <v>45885</v>
      </c>
    </row>
    <row r="32" spans="1:11">
      <c r="A32" s="17">
        <v>45368</v>
      </c>
      <c r="B32" s="8" t="s">
        <v>17</v>
      </c>
      <c r="C32" s="13">
        <v>33.01</v>
      </c>
      <c r="D32" s="14">
        <f>SUM(C3:C32)</f>
        <v>-239.1</v>
      </c>
      <c r="E32" s="9" t="s">
        <v>64</v>
      </c>
      <c r="G32">
        <v>30</v>
      </c>
      <c r="H32" s="1" t="s">
        <v>65</v>
      </c>
      <c r="I32" s="2">
        <f>SUM(C100,C108)</f>
        <v>4</v>
      </c>
      <c r="J32" s="3">
        <v>45934</v>
      </c>
    </row>
    <row r="33" spans="1:10">
      <c r="A33" s="17">
        <v>45387</v>
      </c>
      <c r="B33" s="8" t="s">
        <v>66</v>
      </c>
      <c r="C33" s="13">
        <v>1.38</v>
      </c>
      <c r="D33" s="14">
        <f>SUM(C3:C33)</f>
        <v>-237.72</v>
      </c>
      <c r="E33" s="9" t="s">
        <v>67</v>
      </c>
      <c r="G33">
        <v>31</v>
      </c>
      <c r="H33" s="10" t="s">
        <v>18</v>
      </c>
      <c r="I33" s="16">
        <v>3</v>
      </c>
      <c r="J33" s="3" t="s">
        <v>11</v>
      </c>
    </row>
    <row r="34" spans="1:10">
      <c r="A34" s="17">
        <v>45394</v>
      </c>
      <c r="B34" s="8" t="s">
        <v>17</v>
      </c>
      <c r="C34" s="13">
        <v>16</v>
      </c>
      <c r="D34" s="14">
        <f>SUM(C3:C34)</f>
        <v>-221.72</v>
      </c>
      <c r="E34" s="9" t="s">
        <v>68</v>
      </c>
      <c r="G34">
        <v>32</v>
      </c>
      <c r="H34" s="10" t="s">
        <v>69</v>
      </c>
      <c r="I34" s="16">
        <v>3</v>
      </c>
      <c r="J34" s="3">
        <v>45500</v>
      </c>
    </row>
    <row r="35" spans="1:10">
      <c r="A35" s="17">
        <v>45396</v>
      </c>
      <c r="B35" s="8" t="s">
        <v>66</v>
      </c>
      <c r="C35" s="13">
        <v>0.8</v>
      </c>
      <c r="D35" s="14">
        <f>SUM(C3:C35)</f>
        <v>-220.92</v>
      </c>
      <c r="E35" s="9" t="s">
        <v>70</v>
      </c>
      <c r="G35">
        <v>33</v>
      </c>
      <c r="H35" s="10" t="s">
        <v>71</v>
      </c>
      <c r="I35" s="2">
        <v>2.5</v>
      </c>
      <c r="J35" s="3">
        <v>45976</v>
      </c>
    </row>
    <row r="36" spans="1:10">
      <c r="A36" s="17">
        <v>45403</v>
      </c>
      <c r="B36" s="8" t="s">
        <v>13</v>
      </c>
      <c r="C36" s="13">
        <v>3.2</v>
      </c>
      <c r="D36" s="14">
        <f>SUM(C3:C36)</f>
        <v>-217.72</v>
      </c>
      <c r="E36" s="9"/>
      <c r="G36">
        <v>34</v>
      </c>
      <c r="H36" s="10" t="s">
        <v>66</v>
      </c>
      <c r="I36" s="16">
        <f>SUM(C35,C33:C33)</f>
        <v>2.18</v>
      </c>
      <c r="J36" s="3">
        <v>45396</v>
      </c>
    </row>
    <row r="37" spans="1:10">
      <c r="A37" s="17">
        <v>45403</v>
      </c>
      <c r="B37" s="8" t="s">
        <v>17</v>
      </c>
      <c r="C37" s="13">
        <v>5</v>
      </c>
      <c r="D37" s="14">
        <f>SUM(C3:C37)</f>
        <v>-212.72</v>
      </c>
      <c r="E37" s="9" t="s">
        <v>68</v>
      </c>
      <c r="G37">
        <v>35</v>
      </c>
      <c r="H37" s="10" t="s">
        <v>16</v>
      </c>
      <c r="I37" s="16">
        <v>2</v>
      </c>
      <c r="J37" s="3" t="s">
        <v>11</v>
      </c>
    </row>
    <row r="38" spans="1:10">
      <c r="A38" s="17">
        <v>45412</v>
      </c>
      <c r="B38" s="8" t="s">
        <v>12</v>
      </c>
      <c r="C38" s="13">
        <v>7</v>
      </c>
      <c r="D38" s="14">
        <f>SUM(C3:C38)</f>
        <v>-205.72</v>
      </c>
      <c r="E38" s="9" t="s">
        <v>72</v>
      </c>
      <c r="G38" s="15">
        <v>36</v>
      </c>
      <c r="H38" s="1" t="s">
        <v>73</v>
      </c>
      <c r="I38" s="2">
        <v>2</v>
      </c>
      <c r="J38" s="3">
        <v>45907</v>
      </c>
    </row>
    <row r="39" spans="1:10">
      <c r="A39" s="17">
        <v>45417</v>
      </c>
      <c r="B39" s="8" t="s">
        <v>17</v>
      </c>
      <c r="C39" s="13">
        <v>11</v>
      </c>
      <c r="D39" s="14">
        <f>SUM(C3:C39)</f>
        <v>-194.72</v>
      </c>
      <c r="E39" s="9" t="s">
        <v>74</v>
      </c>
      <c r="G39" s="15">
        <v>37</v>
      </c>
      <c r="H39" s="1" t="s">
        <v>75</v>
      </c>
      <c r="I39" s="2">
        <v>1.5</v>
      </c>
      <c r="J39" s="3">
        <v>46074</v>
      </c>
    </row>
    <row r="40" spans="1:10">
      <c r="A40" s="17">
        <v>45421</v>
      </c>
      <c r="B40" s="8" t="s">
        <v>40</v>
      </c>
      <c r="C40" s="13">
        <v>5</v>
      </c>
      <c r="D40" s="14">
        <f>SUM(C3:C40)</f>
        <v>-189.72</v>
      </c>
      <c r="E40" s="9" t="s">
        <v>68</v>
      </c>
      <c r="G40" s="15">
        <v>38</v>
      </c>
      <c r="H40" s="24" t="s">
        <v>42</v>
      </c>
      <c r="I40" s="16">
        <v>1.32</v>
      </c>
      <c r="J40" s="3">
        <v>44958</v>
      </c>
    </row>
    <row r="41" spans="1:10">
      <c r="A41" s="17">
        <v>45478</v>
      </c>
      <c r="B41" s="8"/>
      <c r="C41" s="18">
        <f>-10-1270-10-520</f>
        <v>-1810</v>
      </c>
      <c r="D41" s="14">
        <f>SUM(C3:C41)</f>
        <v>-1999.72</v>
      </c>
      <c r="E41" s="9" t="s">
        <v>76</v>
      </c>
      <c r="G41">
        <v>39</v>
      </c>
      <c r="H41" s="10" t="s">
        <v>20</v>
      </c>
      <c r="I41" s="16">
        <v>1.28</v>
      </c>
      <c r="J41" s="3" t="s">
        <v>11</v>
      </c>
    </row>
    <row r="42" spans="1:10">
      <c r="A42" s="17">
        <v>45494</v>
      </c>
      <c r="B42" s="8" t="s">
        <v>17</v>
      </c>
      <c r="C42" s="13">
        <v>82.45</v>
      </c>
      <c r="D42" s="21">
        <f>SUM(C3:C43)</f>
        <v>-1915.27</v>
      </c>
      <c r="E42" s="9" t="s">
        <v>77</v>
      </c>
      <c r="G42" s="15">
        <v>40</v>
      </c>
      <c r="H42" s="10" t="s">
        <v>49</v>
      </c>
      <c r="I42" s="16">
        <v>1.01</v>
      </c>
      <c r="J42" s="3">
        <v>45141</v>
      </c>
    </row>
    <row r="43" spans="1:10">
      <c r="A43" s="17"/>
      <c r="B43" s="8" t="s">
        <v>13</v>
      </c>
      <c r="C43" s="13">
        <v>2</v>
      </c>
      <c r="D43" s="23"/>
      <c r="E43" s="9" t="s">
        <v>78</v>
      </c>
      <c r="G43">
        <v>41</v>
      </c>
      <c r="H43" s="10" t="s">
        <v>79</v>
      </c>
      <c r="I43" s="16">
        <v>1</v>
      </c>
      <c r="J43" s="3">
        <v>45794</v>
      </c>
    </row>
    <row r="44" spans="1:10">
      <c r="A44" s="25">
        <v>45495</v>
      </c>
      <c r="B44" s="26" t="s">
        <v>15</v>
      </c>
      <c r="C44" s="27">
        <v>8</v>
      </c>
      <c r="D44" s="21">
        <f>SUM(C3:C44)</f>
        <v>-1907.27</v>
      </c>
      <c r="E44" s="28" t="s">
        <v>80</v>
      </c>
      <c r="G44">
        <v>42</v>
      </c>
      <c r="H44" s="10" t="s">
        <v>14</v>
      </c>
      <c r="I44" s="16">
        <v>0.55</v>
      </c>
      <c r="J44" s="3" t="s">
        <v>11</v>
      </c>
    </row>
    <row r="45" spans="1:10">
      <c r="A45" s="25">
        <v>45496</v>
      </c>
      <c r="B45" s="26" t="s">
        <v>22</v>
      </c>
      <c r="C45" s="27">
        <v>5</v>
      </c>
      <c r="D45" s="21">
        <f>SUM(C3:C46)</f>
        <v>-1899.27</v>
      </c>
      <c r="E45" s="28"/>
      <c r="G45">
        <v>43</v>
      </c>
      <c r="H45" s="10" t="s">
        <v>81</v>
      </c>
      <c r="I45" s="16">
        <v>0.5</v>
      </c>
      <c r="J45" s="3">
        <v>45697</v>
      </c>
    </row>
    <row r="46" spans="1:10">
      <c r="A46" s="29"/>
      <c r="B46" s="26" t="s">
        <v>30</v>
      </c>
      <c r="C46" s="27">
        <v>3</v>
      </c>
      <c r="D46" s="30"/>
      <c r="E46" s="28" t="s">
        <v>82</v>
      </c>
      <c r="G46">
        <v>44</v>
      </c>
      <c r="H46" s="10" t="s">
        <v>83</v>
      </c>
      <c r="I46" s="2">
        <v>0.5</v>
      </c>
      <c r="J46" s="3">
        <v>45885</v>
      </c>
    </row>
    <row r="47" spans="1:10">
      <c r="A47" s="17">
        <v>45497</v>
      </c>
      <c r="B47" s="26" t="s">
        <v>22</v>
      </c>
      <c r="C47" s="27">
        <v>25</v>
      </c>
      <c r="D47" s="21">
        <f>SUM(C3:C47)</f>
        <v>-1874.27</v>
      </c>
      <c r="E47" s="28" t="s">
        <v>84</v>
      </c>
      <c r="G47">
        <v>45</v>
      </c>
      <c r="H47" s="10" t="s">
        <v>47</v>
      </c>
      <c r="I47" s="16">
        <v>0.11</v>
      </c>
      <c r="J47" s="3">
        <v>45140</v>
      </c>
    </row>
    <row r="48" spans="1:10">
      <c r="A48" s="25">
        <v>45500</v>
      </c>
      <c r="B48" s="26" t="s">
        <v>69</v>
      </c>
      <c r="C48" s="27">
        <v>3</v>
      </c>
      <c r="D48" s="21">
        <f>SUM(C3:C49)</f>
        <v>-1866.27</v>
      </c>
      <c r="E48" s="28"/>
      <c r="G48" s="15">
        <v>46</v>
      </c>
      <c r="H48" s="10" t="s">
        <v>24</v>
      </c>
      <c r="I48" s="16">
        <v>0.1</v>
      </c>
      <c r="J48" s="3">
        <v>44213</v>
      </c>
    </row>
    <row r="49" spans="1:5">
      <c r="A49" s="31"/>
      <c r="B49" s="26" t="s">
        <v>15</v>
      </c>
      <c r="C49" s="27">
        <v>5</v>
      </c>
      <c r="D49" s="30"/>
      <c r="E49" s="28" t="s">
        <v>68</v>
      </c>
    </row>
    <row r="50" spans="1:5">
      <c r="A50" s="25">
        <v>45505</v>
      </c>
      <c r="B50" s="26" t="s">
        <v>22</v>
      </c>
      <c r="C50" s="27">
        <v>10</v>
      </c>
      <c r="D50" s="21">
        <f>SUM(C3:C50)</f>
        <v>-1856.27</v>
      </c>
      <c r="E50" s="28" t="s">
        <v>85</v>
      </c>
    </row>
    <row r="51" spans="1:5">
      <c r="A51" s="25">
        <v>45507</v>
      </c>
      <c r="B51" s="26" t="s">
        <v>15</v>
      </c>
      <c r="C51" s="27">
        <v>14</v>
      </c>
      <c r="D51" s="21">
        <f>SUM(C3:C52)</f>
        <v>-1756.27</v>
      </c>
      <c r="E51" s="28" t="s">
        <v>68</v>
      </c>
    </row>
    <row r="52" spans="1:5">
      <c r="A52" s="31"/>
      <c r="B52" s="26" t="s">
        <v>25</v>
      </c>
      <c r="C52" s="27">
        <v>86</v>
      </c>
      <c r="D52" s="30"/>
      <c r="E52" s="28" t="s">
        <v>86</v>
      </c>
    </row>
    <row r="53" spans="1:5">
      <c r="A53" s="25">
        <v>45508</v>
      </c>
      <c r="B53" s="26" t="s">
        <v>15</v>
      </c>
      <c r="C53" s="27">
        <v>9</v>
      </c>
      <c r="D53" s="21">
        <f>SUM(C3:C54)</f>
        <v>-1737.27</v>
      </c>
      <c r="E53" s="28" t="s">
        <v>68</v>
      </c>
    </row>
    <row r="54" spans="1:5">
      <c r="A54" s="31"/>
      <c r="B54" s="26" t="s">
        <v>17</v>
      </c>
      <c r="C54" s="27">
        <v>10</v>
      </c>
      <c r="D54" s="30"/>
      <c r="E54" s="28"/>
    </row>
    <row r="55" spans="1:5">
      <c r="A55" s="25">
        <v>45509</v>
      </c>
      <c r="B55" s="26"/>
      <c r="C55" s="32">
        <v>-10</v>
      </c>
      <c r="D55" s="21">
        <f>SUM(C3:C56)</f>
        <v>-1737.27</v>
      </c>
      <c r="E55" s="28" t="s">
        <v>87</v>
      </c>
    </row>
    <row r="56" spans="1:5">
      <c r="A56" s="31"/>
      <c r="B56" s="26" t="s">
        <v>30</v>
      </c>
      <c r="C56" s="27">
        <v>10</v>
      </c>
      <c r="D56" s="30"/>
      <c r="E56" s="28"/>
    </row>
    <row r="57" spans="1:5">
      <c r="A57" s="25">
        <v>45510</v>
      </c>
      <c r="B57" s="26" t="s">
        <v>17</v>
      </c>
      <c r="C57" s="27">
        <v>40</v>
      </c>
      <c r="D57" s="20">
        <f>SUM(C3:C57)</f>
        <v>-1697.27</v>
      </c>
      <c r="E57" s="28" t="s">
        <v>86</v>
      </c>
    </row>
    <row r="58" spans="1:5">
      <c r="A58" s="25">
        <v>45525</v>
      </c>
      <c r="B58" s="33" t="s">
        <v>15</v>
      </c>
      <c r="C58" s="27">
        <f>6+5+5+5+6+5+5+5+30</f>
        <v>72</v>
      </c>
      <c r="D58" s="21">
        <f>SUM(C3:C58)</f>
        <v>-1625.27</v>
      </c>
      <c r="E58" s="28" t="s">
        <v>88</v>
      </c>
    </row>
    <row r="59" spans="1:5">
      <c r="A59" s="25">
        <v>45525</v>
      </c>
      <c r="B59" s="33" t="s">
        <v>17</v>
      </c>
      <c r="C59" s="27">
        <v>6</v>
      </c>
      <c r="D59" s="21">
        <f>SUM(C3:C59)</f>
        <v>-1619.27</v>
      </c>
      <c r="E59" s="28" t="s">
        <v>89</v>
      </c>
    </row>
    <row r="60" spans="1:5">
      <c r="A60" s="25">
        <v>45549</v>
      </c>
      <c r="B60" s="33" t="s">
        <v>15</v>
      </c>
      <c r="C60" s="27">
        <v>30</v>
      </c>
      <c r="D60" s="21">
        <f>SUM(C3:C61)</f>
        <v>-1569.27</v>
      </c>
      <c r="E60" s="28" t="s">
        <v>68</v>
      </c>
    </row>
    <row r="61" spans="1:5">
      <c r="A61" s="29"/>
      <c r="B61" s="33" t="s">
        <v>17</v>
      </c>
      <c r="C61" s="27">
        <v>20</v>
      </c>
      <c r="D61" s="30"/>
      <c r="E61" s="28" t="s">
        <v>86</v>
      </c>
    </row>
    <row r="62" spans="1:5">
      <c r="A62" s="31">
        <v>45551</v>
      </c>
      <c r="B62" s="33" t="s">
        <v>19</v>
      </c>
      <c r="C62" s="27">
        <v>17</v>
      </c>
      <c r="D62" s="21">
        <f>SUM(C3:C62)</f>
        <v>-1552.27</v>
      </c>
      <c r="E62" s="28"/>
    </row>
    <row r="63" spans="1:5">
      <c r="A63" s="25">
        <v>45552</v>
      </c>
      <c r="B63" s="33" t="s">
        <v>15</v>
      </c>
      <c r="C63" s="27">
        <v>40</v>
      </c>
      <c r="D63" s="21">
        <f>SUM(C3:C63)</f>
        <v>-1512.27</v>
      </c>
      <c r="E63" s="28"/>
    </row>
    <row r="64" spans="1:5">
      <c r="A64" s="25">
        <v>45555</v>
      </c>
      <c r="B64" s="33" t="s">
        <v>40</v>
      </c>
      <c r="C64" s="27">
        <v>6</v>
      </c>
      <c r="D64" s="21">
        <f>SUM(C3:C65)</f>
        <v>-1486.27</v>
      </c>
      <c r="E64" s="28"/>
    </row>
    <row r="65" spans="1:5">
      <c r="A65" s="31"/>
      <c r="B65" s="33" t="s">
        <v>25</v>
      </c>
      <c r="C65" s="27">
        <v>20</v>
      </c>
      <c r="D65" s="30"/>
      <c r="E65" s="28" t="s">
        <v>90</v>
      </c>
    </row>
    <row r="66" spans="1:5">
      <c r="A66" s="25">
        <v>45584</v>
      </c>
      <c r="B66" s="33" t="s">
        <v>15</v>
      </c>
      <c r="C66" s="27">
        <v>30</v>
      </c>
      <c r="D66" s="21">
        <f>SUM(C3:C66)</f>
        <v>-1456.27</v>
      </c>
      <c r="E66" s="28" t="s">
        <v>68</v>
      </c>
    </row>
    <row r="67" spans="1:5">
      <c r="A67" s="25">
        <v>45584</v>
      </c>
      <c r="B67" s="33" t="s">
        <v>17</v>
      </c>
      <c r="C67" s="27">
        <v>7</v>
      </c>
      <c r="D67" s="21">
        <f>SUM(C3:C67)</f>
        <v>-1449.27</v>
      </c>
      <c r="E67" s="28"/>
    </row>
    <row r="68" spans="1:5">
      <c r="A68" s="25">
        <v>45592</v>
      </c>
      <c r="B68" s="33" t="s">
        <v>15</v>
      </c>
      <c r="C68" s="27">
        <v>60</v>
      </c>
      <c r="D68" s="21">
        <f>SUM(C3:C68)</f>
        <v>-1389.27</v>
      </c>
      <c r="E68" s="28" t="s">
        <v>91</v>
      </c>
    </row>
    <row r="69" spans="1:5">
      <c r="A69" s="25">
        <v>45597</v>
      </c>
      <c r="B69" s="33" t="s">
        <v>17</v>
      </c>
      <c r="C69" s="27">
        <v>5</v>
      </c>
      <c r="D69" s="21">
        <f>SUM(C3:C69)</f>
        <v>-1384.27</v>
      </c>
      <c r="E69" s="28" t="s">
        <v>68</v>
      </c>
    </row>
    <row r="70" spans="1:5">
      <c r="A70" s="25">
        <v>45598</v>
      </c>
      <c r="B70" s="33" t="s">
        <v>15</v>
      </c>
      <c r="C70" s="27">
        <v>5</v>
      </c>
      <c r="D70" s="21">
        <f>SUM(C3:C70)</f>
        <v>-1379.27</v>
      </c>
      <c r="E70" s="28" t="s">
        <v>68</v>
      </c>
    </row>
    <row r="71" spans="1:5">
      <c r="A71" s="25">
        <v>45612</v>
      </c>
      <c r="B71" s="33" t="s">
        <v>17</v>
      </c>
      <c r="C71" s="27">
        <v>5</v>
      </c>
      <c r="D71" s="21">
        <f>SUM(C3:C71)</f>
        <v>-1374.27</v>
      </c>
      <c r="E71" s="28"/>
    </row>
    <row r="72" spans="1:5">
      <c r="A72" s="25">
        <v>45619</v>
      </c>
      <c r="B72" s="33" t="s">
        <v>15</v>
      </c>
      <c r="C72" s="27">
        <v>15</v>
      </c>
      <c r="D72" s="21">
        <f>SUM(C3:C72)</f>
        <v>-1359.27</v>
      </c>
      <c r="E72" s="28" t="s">
        <v>68</v>
      </c>
    </row>
    <row r="73" spans="1:5">
      <c r="A73" s="17">
        <v>45634</v>
      </c>
      <c r="B73" s="33" t="s">
        <v>59</v>
      </c>
      <c r="C73" s="27">
        <v>5</v>
      </c>
      <c r="D73" s="21">
        <f>SUM(C3:C74)</f>
        <v>-1344.27</v>
      </c>
      <c r="E73" s="28" t="s">
        <v>68</v>
      </c>
    </row>
    <row r="74" spans="1:5">
      <c r="A74" s="17"/>
      <c r="B74" s="33" t="s">
        <v>30</v>
      </c>
      <c r="C74" s="27">
        <v>10</v>
      </c>
      <c r="D74" s="30"/>
      <c r="E74" s="28" t="s">
        <v>92</v>
      </c>
    </row>
    <row r="75" spans="1:5">
      <c r="A75" s="17">
        <v>45649</v>
      </c>
      <c r="B75" s="33" t="s">
        <v>46</v>
      </c>
      <c r="C75" s="27">
        <v>10</v>
      </c>
      <c r="D75" s="21">
        <f>SUM(C3:C75)</f>
        <v>-1334.27</v>
      </c>
      <c r="E75" s="28"/>
    </row>
    <row r="76" spans="1:5">
      <c r="A76" s="25">
        <v>45654</v>
      </c>
      <c r="B76" s="33" t="s">
        <v>17</v>
      </c>
      <c r="C76" s="27">
        <v>30</v>
      </c>
      <c r="D76" s="21">
        <f>SUM(C3:C76)</f>
        <v>-1304.27</v>
      </c>
      <c r="E76" s="28" t="s">
        <v>93</v>
      </c>
    </row>
    <row r="77" spans="1:5">
      <c r="A77" s="25">
        <v>45686</v>
      </c>
      <c r="B77" s="33" t="s">
        <v>15</v>
      </c>
      <c r="C77" s="27">
        <v>9</v>
      </c>
      <c r="D77" s="21">
        <f>SUM(C3:C77)</f>
        <v>-1295.27</v>
      </c>
      <c r="E77" s="28" t="s">
        <v>68</v>
      </c>
    </row>
    <row r="78" spans="1:5">
      <c r="A78" s="25">
        <v>45697</v>
      </c>
      <c r="B78" s="33" t="s">
        <v>81</v>
      </c>
      <c r="C78" s="27">
        <v>0.5</v>
      </c>
      <c r="D78" s="21">
        <f>SUM(C3:C78)</f>
        <v>-1294.77</v>
      </c>
      <c r="E78" s="28"/>
    </row>
    <row r="79" spans="1:5">
      <c r="A79" s="25">
        <v>45707</v>
      </c>
      <c r="B79" s="33" t="s">
        <v>61</v>
      </c>
      <c r="C79" s="27">
        <v>4.15</v>
      </c>
      <c r="D79" s="21">
        <f>SUM(C3:C79)</f>
        <v>-1290.62</v>
      </c>
      <c r="E79" s="28"/>
    </row>
    <row r="80" spans="1:5">
      <c r="A80" s="17">
        <v>45794</v>
      </c>
      <c r="B80" s="33" t="s">
        <v>79</v>
      </c>
      <c r="C80" s="27">
        <v>1</v>
      </c>
      <c r="D80" s="20">
        <f>SUM(C3:C80)</f>
        <v>-1289.62</v>
      </c>
      <c r="E80" s="28"/>
    </row>
    <row r="81" spans="1:5">
      <c r="A81" s="25">
        <v>45829</v>
      </c>
      <c r="B81" s="33" t="s">
        <v>19</v>
      </c>
      <c r="C81" s="27">
        <v>26.66</v>
      </c>
      <c r="D81" s="21">
        <f>SUM(C3:C81)</f>
        <v>-1262.96</v>
      </c>
      <c r="E81" s="28"/>
    </row>
    <row r="82" spans="1:5">
      <c r="A82" s="25">
        <v>45844</v>
      </c>
      <c r="B82" s="33" t="s">
        <v>55</v>
      </c>
      <c r="C82" s="27">
        <v>2.48</v>
      </c>
      <c r="D82" s="21">
        <f>SUM(C3:C82)</f>
        <v>-1260.48</v>
      </c>
      <c r="E82" s="28"/>
    </row>
    <row r="83" spans="1:5">
      <c r="A83" s="25">
        <v>45860</v>
      </c>
      <c r="B83" s="33" t="s">
        <v>52</v>
      </c>
      <c r="C83" s="27">
        <v>8</v>
      </c>
      <c r="D83" s="21">
        <f>SUM(C3:C83)</f>
        <v>-1252.48</v>
      </c>
      <c r="E83" s="28"/>
    </row>
    <row r="84" spans="1:5">
      <c r="A84" s="25">
        <v>45861</v>
      </c>
      <c r="B84" s="33" t="s">
        <v>55</v>
      </c>
      <c r="C84" s="27">
        <v>0.5</v>
      </c>
      <c r="D84" s="21">
        <f>SUM(C3:C84)</f>
        <v>-1251.98</v>
      </c>
      <c r="E84" s="28"/>
    </row>
    <row r="85" spans="1:5">
      <c r="A85" s="25">
        <v>45865</v>
      </c>
      <c r="B85" s="33" t="s">
        <v>35</v>
      </c>
      <c r="C85" s="27">
        <v>3</v>
      </c>
      <c r="D85" s="21">
        <f>SUM(C3:C85)</f>
        <v>-1248.98</v>
      </c>
      <c r="E85" s="28"/>
    </row>
    <row r="86" spans="1:5">
      <c r="A86" s="25">
        <v>45868</v>
      </c>
      <c r="B86" s="33" t="s">
        <v>26</v>
      </c>
      <c r="C86" s="27">
        <v>5.01</v>
      </c>
      <c r="D86" s="21">
        <f>SUM(C3:C86)</f>
        <v>-1243.97</v>
      </c>
      <c r="E86" s="28"/>
    </row>
    <row r="87" spans="1:5">
      <c r="A87" s="25">
        <v>45868</v>
      </c>
      <c r="B87" s="33" t="s">
        <v>57</v>
      </c>
      <c r="C87" s="27">
        <v>6</v>
      </c>
      <c r="D87" s="21">
        <f>SUM(C3:C87)</f>
        <v>-1237.97</v>
      </c>
      <c r="E87" s="28" t="s">
        <v>94</v>
      </c>
    </row>
    <row r="88" spans="1:5">
      <c r="A88" s="25">
        <v>45877</v>
      </c>
      <c r="B88" s="33" t="s">
        <v>13</v>
      </c>
      <c r="C88" s="27">
        <v>5</v>
      </c>
      <c r="D88" s="21">
        <f>SUM(C3:C88)</f>
        <v>-1232.97</v>
      </c>
      <c r="E88" s="28" t="s">
        <v>68</v>
      </c>
    </row>
    <row r="89" spans="1:5">
      <c r="A89" s="25">
        <v>45878</v>
      </c>
      <c r="B89" s="33" t="s">
        <v>35</v>
      </c>
      <c r="C89" s="27">
        <v>0.01</v>
      </c>
      <c r="D89" s="21">
        <f>SUM(C3:C89)</f>
        <v>-1232.96</v>
      </c>
      <c r="E89" s="28"/>
    </row>
    <row r="90" spans="1:5">
      <c r="A90" s="25">
        <v>45879</v>
      </c>
      <c r="B90" s="33" t="s">
        <v>13</v>
      </c>
      <c r="C90" s="27">
        <v>26</v>
      </c>
      <c r="D90" s="21">
        <f>SUM(C3:C90)</f>
        <v>-1206.96</v>
      </c>
      <c r="E90" s="34" t="s">
        <v>95</v>
      </c>
    </row>
    <row r="91" spans="1:5">
      <c r="A91" s="25">
        <v>45881</v>
      </c>
      <c r="B91" s="33" t="s">
        <v>15</v>
      </c>
      <c r="C91" s="27">
        <v>5</v>
      </c>
      <c r="D91" s="21">
        <f>SUM(C3:C91)</f>
        <v>-1201.96</v>
      </c>
      <c r="E91" s="34" t="s">
        <v>68</v>
      </c>
    </row>
    <row r="92" spans="1:5">
      <c r="A92" s="17">
        <v>45885</v>
      </c>
      <c r="B92" s="33" t="s">
        <v>83</v>
      </c>
      <c r="C92" s="27">
        <v>0.5</v>
      </c>
      <c r="D92" s="21">
        <f>SUM(C3:C94)</f>
        <v>-1191.46</v>
      </c>
      <c r="E92" s="34"/>
    </row>
    <row r="93" spans="1:5">
      <c r="A93" s="17"/>
      <c r="B93" s="33" t="s">
        <v>63</v>
      </c>
      <c r="C93" s="27">
        <v>6</v>
      </c>
      <c r="D93" s="30"/>
      <c r="E93" s="34"/>
    </row>
    <row r="94" spans="1:5">
      <c r="A94" s="17"/>
      <c r="B94" s="33" t="s">
        <v>55</v>
      </c>
      <c r="C94" s="27">
        <v>4</v>
      </c>
      <c r="D94" s="30"/>
      <c r="E94" s="34"/>
    </row>
    <row r="95" spans="1:5">
      <c r="A95" s="25">
        <v>45886</v>
      </c>
      <c r="B95" s="33" t="s">
        <v>15</v>
      </c>
      <c r="C95" s="27">
        <v>5</v>
      </c>
      <c r="D95" s="21">
        <f>SUM(C3:C95)</f>
        <v>-1186.46</v>
      </c>
      <c r="E95" s="34" t="s">
        <v>68</v>
      </c>
    </row>
    <row r="96" spans="1:5">
      <c r="A96" s="25">
        <v>45894</v>
      </c>
      <c r="B96" s="33" t="s">
        <v>35</v>
      </c>
      <c r="C96" s="27">
        <v>1</v>
      </c>
      <c r="D96" s="21">
        <f>SUM(C3:C96)</f>
        <v>-1185.46</v>
      </c>
      <c r="E96" s="34"/>
    </row>
    <row r="97" spans="1:5">
      <c r="A97" s="25">
        <v>45905</v>
      </c>
      <c r="B97" s="33" t="s">
        <v>53</v>
      </c>
      <c r="C97" s="27">
        <v>7.33</v>
      </c>
      <c r="D97" s="21">
        <f>SUM(C3:C97)</f>
        <v>-1178.13</v>
      </c>
      <c r="E97" s="34"/>
    </row>
    <row r="98" spans="1:5">
      <c r="A98" s="25">
        <v>45907</v>
      </c>
      <c r="B98" s="33" t="s">
        <v>35</v>
      </c>
      <c r="C98" s="27">
        <v>2</v>
      </c>
      <c r="D98" s="21">
        <f>SUM(C3:C102)</f>
        <v>-1168.13</v>
      </c>
      <c r="E98" s="34"/>
    </row>
    <row r="99" spans="1:5">
      <c r="A99" s="31"/>
      <c r="B99" s="33" t="s">
        <v>32</v>
      </c>
      <c r="C99" s="27">
        <v>2</v>
      </c>
      <c r="D99" s="30"/>
      <c r="E99" s="34"/>
    </row>
    <row r="100" spans="1:5">
      <c r="A100" s="31"/>
      <c r="B100" s="33" t="s">
        <v>65</v>
      </c>
      <c r="C100" s="27">
        <v>2</v>
      </c>
      <c r="D100" s="30"/>
      <c r="E100" s="34"/>
    </row>
    <row r="101" spans="1:5">
      <c r="A101" s="31"/>
      <c r="B101" s="33" t="s">
        <v>26</v>
      </c>
      <c r="C101" s="27">
        <v>2</v>
      </c>
      <c r="D101" s="30"/>
      <c r="E101" s="34"/>
    </row>
    <row r="102" spans="1:5">
      <c r="A102" s="31"/>
      <c r="B102" s="33" t="s">
        <v>73</v>
      </c>
      <c r="C102" s="27">
        <v>2</v>
      </c>
      <c r="D102" s="30"/>
      <c r="E102" s="34"/>
    </row>
    <row r="103" spans="1:5">
      <c r="A103" s="25">
        <v>45915</v>
      </c>
      <c r="B103" s="33"/>
      <c r="C103" s="32">
        <v>-130</v>
      </c>
      <c r="D103" s="21">
        <f>SUM(C3:C103)</f>
        <v>-1298.13</v>
      </c>
      <c r="E103" s="34" t="s">
        <v>96</v>
      </c>
    </row>
    <row r="104" spans="1:5">
      <c r="A104" s="25">
        <v>45916</v>
      </c>
      <c r="B104" s="33" t="s">
        <v>12</v>
      </c>
      <c r="C104" s="27">
        <v>6</v>
      </c>
      <c r="D104" s="21">
        <f>SUM(C3:C104)</f>
        <v>-1292.13</v>
      </c>
      <c r="E104" s="34" t="s">
        <v>68</v>
      </c>
    </row>
    <row r="105" spans="1:5">
      <c r="A105" s="25">
        <v>45925</v>
      </c>
      <c r="B105" s="33" t="s">
        <v>26</v>
      </c>
      <c r="C105" s="27">
        <v>10</v>
      </c>
      <c r="D105" s="21">
        <f>SUM(C3:C105)</f>
        <v>-1282.13</v>
      </c>
      <c r="E105" s="34"/>
    </row>
    <row r="106" spans="1:5">
      <c r="A106" s="25">
        <v>45930</v>
      </c>
      <c r="B106" s="33" t="s">
        <v>37</v>
      </c>
      <c r="C106" s="27">
        <v>15</v>
      </c>
      <c r="D106" s="21">
        <f>SUM(C3:C106)</f>
        <v>-1267.13</v>
      </c>
      <c r="E106" s="34"/>
    </row>
    <row r="107" spans="1:5">
      <c r="A107" s="25">
        <v>45934</v>
      </c>
      <c r="B107" s="33" t="s">
        <v>26</v>
      </c>
      <c r="C107" s="27">
        <v>2</v>
      </c>
      <c r="D107" s="21">
        <f>SUM(C3:C107)</f>
        <v>-1265.13</v>
      </c>
      <c r="E107" s="34"/>
    </row>
    <row r="108" spans="1:5">
      <c r="A108" s="31"/>
      <c r="B108" s="33" t="s">
        <v>65</v>
      </c>
      <c r="C108" s="27">
        <v>2</v>
      </c>
      <c r="D108" s="21">
        <f>SUM(C3:C108)</f>
        <v>-1263.13</v>
      </c>
      <c r="E108" s="34"/>
    </row>
    <row r="109" spans="1:5">
      <c r="A109" s="31"/>
      <c r="B109" s="33" t="s">
        <v>32</v>
      </c>
      <c r="C109" s="27">
        <v>0.45</v>
      </c>
      <c r="D109" s="21">
        <f>SUM(C3:C109)</f>
        <v>-1262.68</v>
      </c>
      <c r="E109" s="34"/>
    </row>
    <row r="110" spans="1:5">
      <c r="A110" s="25">
        <v>45965</v>
      </c>
      <c r="B110" s="33" t="s">
        <v>23</v>
      </c>
      <c r="C110" s="27">
        <v>60</v>
      </c>
      <c r="D110" s="21">
        <f>SUM(C3:C110)</f>
        <v>-1202.68</v>
      </c>
      <c r="E110" s="34" t="s">
        <v>97</v>
      </c>
    </row>
    <row r="111" spans="1:5">
      <c r="A111" s="25">
        <v>45968</v>
      </c>
      <c r="B111" s="33" t="s">
        <v>12</v>
      </c>
      <c r="C111" s="27">
        <v>5</v>
      </c>
      <c r="D111" s="21">
        <f>SUM(C3:C111)</f>
        <v>-1197.68</v>
      </c>
      <c r="E111" s="34"/>
    </row>
    <row r="112" spans="1:5">
      <c r="A112" s="25">
        <v>45969</v>
      </c>
      <c r="B112" s="33" t="s">
        <v>26</v>
      </c>
      <c r="C112" s="27">
        <v>6</v>
      </c>
      <c r="D112" s="21">
        <f>SUM(C3:C112)</f>
        <v>-1191.68</v>
      </c>
      <c r="E112" s="34"/>
    </row>
    <row r="113" spans="1:5">
      <c r="A113" s="25">
        <v>45972</v>
      </c>
      <c r="B113" s="33" t="s">
        <v>23</v>
      </c>
      <c r="C113" s="27">
        <v>60</v>
      </c>
      <c r="D113" s="21">
        <f>SUM(C3:C113)</f>
        <v>-1131.68</v>
      </c>
      <c r="E113" s="34" t="s">
        <v>98</v>
      </c>
    </row>
    <row r="114" spans="1:5">
      <c r="A114" s="25">
        <v>45975</v>
      </c>
      <c r="B114" s="33" t="s">
        <v>13</v>
      </c>
      <c r="C114" s="27">
        <v>37</v>
      </c>
      <c r="D114" s="21">
        <f>SUM(C3:C114)</f>
        <v>-1094.68</v>
      </c>
      <c r="E114" s="34" t="s">
        <v>99</v>
      </c>
    </row>
    <row r="115" spans="1:5">
      <c r="A115" s="25">
        <v>45976</v>
      </c>
      <c r="B115" s="33" t="s">
        <v>71</v>
      </c>
      <c r="C115" s="27">
        <v>2.5</v>
      </c>
      <c r="D115" s="21">
        <f>SUM(C3:C115)</f>
        <v>-1092.18</v>
      </c>
      <c r="E115" s="34"/>
    </row>
    <row r="116" spans="1:5">
      <c r="A116" s="25">
        <v>45980</v>
      </c>
      <c r="B116" s="33" t="s">
        <v>23</v>
      </c>
      <c r="C116" s="27">
        <v>20</v>
      </c>
      <c r="D116" s="21">
        <f>SUM(C3:C116)</f>
        <v>-1072.18</v>
      </c>
      <c r="E116" s="34" t="s">
        <v>100</v>
      </c>
    </row>
    <row r="117" spans="1:5">
      <c r="A117" s="25">
        <v>45990</v>
      </c>
      <c r="B117" s="33" t="s">
        <v>35</v>
      </c>
      <c r="C117" s="27">
        <v>1</v>
      </c>
      <c r="D117" s="21">
        <f>SUM(C3:C117)</f>
        <v>-1071.18</v>
      </c>
      <c r="E117" s="34" t="s">
        <v>101</v>
      </c>
    </row>
    <row r="118" spans="1:5">
      <c r="A118" s="25">
        <v>46012</v>
      </c>
      <c r="B118" s="33" t="s">
        <v>23</v>
      </c>
      <c r="C118" s="27">
        <v>10</v>
      </c>
      <c r="D118" s="21">
        <f>SUM(C3:C118)</f>
        <v>-1061.18</v>
      </c>
      <c r="E118" s="34"/>
    </row>
    <row r="119" spans="1:5">
      <c r="A119" s="25">
        <v>46029</v>
      </c>
      <c r="B119" s="33" t="s">
        <v>26</v>
      </c>
      <c r="C119" s="27">
        <v>16</v>
      </c>
      <c r="D119" s="21">
        <f>SUM(C3:C119)</f>
        <v>-1045.18</v>
      </c>
      <c r="E119" s="34" t="s">
        <v>102</v>
      </c>
    </row>
    <row r="120" spans="1:5">
      <c r="A120" s="25">
        <v>46031</v>
      </c>
      <c r="B120" s="33" t="s">
        <v>35</v>
      </c>
      <c r="C120" s="27">
        <v>2</v>
      </c>
      <c r="D120" s="21">
        <f>SUM(C3:C120)</f>
        <v>-1043.18</v>
      </c>
      <c r="E120" s="34" t="s">
        <v>103</v>
      </c>
    </row>
    <row r="121" spans="1:5">
      <c r="A121" s="25">
        <v>46038</v>
      </c>
      <c r="B121" s="33" t="s">
        <v>21</v>
      </c>
      <c r="C121" s="27">
        <v>66</v>
      </c>
      <c r="D121" s="21">
        <f>SUM(C3:C121)</f>
        <v>-977.18</v>
      </c>
      <c r="E121" s="34" t="s">
        <v>104</v>
      </c>
    </row>
    <row r="122" spans="1:5">
      <c r="A122" s="25">
        <v>46039</v>
      </c>
      <c r="B122" s="33" t="s">
        <v>35</v>
      </c>
      <c r="C122" s="27">
        <v>1</v>
      </c>
      <c r="D122" s="21">
        <f>SUM(C3:C122)</f>
        <v>-976.18</v>
      </c>
      <c r="E122" s="34"/>
    </row>
    <row r="123" spans="1:5">
      <c r="A123" s="25">
        <v>46047</v>
      </c>
      <c r="B123" s="33" t="s">
        <v>21</v>
      </c>
      <c r="C123" s="27">
        <v>7</v>
      </c>
      <c r="D123" s="21">
        <f>SUM(C3:C123)</f>
        <v>-969.18</v>
      </c>
      <c r="E123" s="34" t="s">
        <v>105</v>
      </c>
    </row>
    <row r="124" spans="1:5">
      <c r="A124" s="31"/>
      <c r="B124" s="33" t="s">
        <v>26</v>
      </c>
      <c r="C124" s="27">
        <v>11</v>
      </c>
      <c r="D124" s="21">
        <f>SUM(C3:C124)</f>
        <v>-958.18</v>
      </c>
      <c r="E124" s="34"/>
    </row>
    <row r="125" spans="1:5">
      <c r="A125" s="25">
        <v>46054</v>
      </c>
      <c r="B125" s="33" t="s">
        <v>15</v>
      </c>
      <c r="C125" s="27">
        <v>5</v>
      </c>
      <c r="D125" s="21">
        <f>SUM(C3:C125)</f>
        <v>-953.18</v>
      </c>
      <c r="E125" s="34" t="s">
        <v>68</v>
      </c>
    </row>
    <row r="126" spans="1:5">
      <c r="A126" s="25">
        <v>46055</v>
      </c>
      <c r="B126" s="33" t="s">
        <v>21</v>
      </c>
      <c r="C126" s="27">
        <v>36</v>
      </c>
      <c r="D126" s="21">
        <f>SUM(C3:C126)</f>
        <v>-917.18</v>
      </c>
      <c r="E126" s="34" t="s">
        <v>106</v>
      </c>
    </row>
    <row r="127" spans="1:5">
      <c r="A127" s="25">
        <v>46057</v>
      </c>
      <c r="B127" s="33" t="s">
        <v>15</v>
      </c>
      <c r="C127" s="27">
        <v>5</v>
      </c>
      <c r="D127" s="21">
        <f>SUM(C3:C127)</f>
        <v>-912.18</v>
      </c>
      <c r="E127" s="34" t="s">
        <v>68</v>
      </c>
    </row>
    <row r="128" spans="1:5">
      <c r="A128" s="35">
        <v>46068</v>
      </c>
      <c r="B128" s="33" t="s">
        <v>21</v>
      </c>
      <c r="C128" s="27">
        <v>78</v>
      </c>
      <c r="D128" s="21">
        <f>SUM(C3:C128)</f>
        <v>-834.18</v>
      </c>
      <c r="E128" s="34" t="s">
        <v>107</v>
      </c>
    </row>
    <row r="129" spans="1:5">
      <c r="A129" s="36"/>
      <c r="B129" s="33" t="s">
        <v>23</v>
      </c>
      <c r="C129" s="27">
        <v>30</v>
      </c>
      <c r="D129" s="21">
        <f>SUM(C3:C129)</f>
        <v>-804.18</v>
      </c>
      <c r="E129" s="34" t="s">
        <v>108</v>
      </c>
    </row>
    <row r="130" spans="1:5">
      <c r="A130" s="25">
        <v>46069</v>
      </c>
      <c r="B130" s="33" t="s">
        <v>32</v>
      </c>
      <c r="C130" s="27">
        <v>5</v>
      </c>
      <c r="D130" s="21">
        <f>SUM(C3:C130)</f>
        <v>-799.18</v>
      </c>
      <c r="E130" s="34"/>
    </row>
    <row r="131" spans="1:5">
      <c r="A131" s="31"/>
      <c r="B131" s="33" t="s">
        <v>21</v>
      </c>
      <c r="C131" s="27">
        <v>8</v>
      </c>
      <c r="D131" s="21">
        <f>SUM(C3:C131)</f>
        <v>-791.18</v>
      </c>
      <c r="E131" s="34" t="s">
        <v>78</v>
      </c>
    </row>
    <row r="132" spans="1:5">
      <c r="A132" s="31"/>
      <c r="B132" s="33" t="s">
        <v>48</v>
      </c>
      <c r="C132" s="27">
        <v>10</v>
      </c>
      <c r="D132" s="21">
        <f>SUM(C3:C132)</f>
        <v>-781.18</v>
      </c>
      <c r="E132" s="34"/>
    </row>
    <row r="133" spans="1:5">
      <c r="A133" s="25">
        <v>46070</v>
      </c>
      <c r="B133" s="33" t="s">
        <v>50</v>
      </c>
      <c r="C133" s="27">
        <v>8.32</v>
      </c>
      <c r="D133" s="21">
        <f>SUM(C3:C133)</f>
        <v>-772.86</v>
      </c>
      <c r="E133" s="34"/>
    </row>
    <row r="134" spans="1:5">
      <c r="A134" s="31"/>
      <c r="B134" s="33" t="s">
        <v>23</v>
      </c>
      <c r="C134" s="27">
        <v>10</v>
      </c>
      <c r="D134" s="21">
        <f>SUM(C3:C134)</f>
        <v>-762.86</v>
      </c>
      <c r="E134" s="34"/>
    </row>
    <row r="135" spans="1:5">
      <c r="A135" s="17">
        <v>46074</v>
      </c>
      <c r="B135" s="33" t="s">
        <v>75</v>
      </c>
      <c r="C135" s="27">
        <v>1.5</v>
      </c>
      <c r="D135" s="21">
        <f>SUM(C3:C135)</f>
        <v>-761.36</v>
      </c>
      <c r="E135" s="34"/>
    </row>
    <row r="136" spans="1:5">
      <c r="A136" s="25">
        <v>46079</v>
      </c>
      <c r="B136" s="33" t="s">
        <v>15</v>
      </c>
      <c r="C136" s="27">
        <v>25</v>
      </c>
      <c r="D136" s="21">
        <f>SUM(C3:C136)</f>
        <v>-736.36</v>
      </c>
      <c r="E136" s="34" t="s">
        <v>68</v>
      </c>
    </row>
    <row r="137" spans="1:5">
      <c r="A137" s="25">
        <v>46085</v>
      </c>
      <c r="B137" s="33" t="s">
        <v>32</v>
      </c>
      <c r="C137" s="27">
        <v>10</v>
      </c>
      <c r="D137" s="21">
        <f>SUM(C3:C137)</f>
        <v>-726.36</v>
      </c>
      <c r="E137" s="34"/>
    </row>
    <row r="138" ht="14.25" spans="1:5">
      <c r="A138" s="37"/>
      <c r="B138" s="38"/>
      <c r="C138" s="39"/>
      <c r="D138" s="39"/>
      <c r="E138" s="40"/>
    </row>
    <row r="139" spans="1:5">
      <c r="A139" s="41" t="s">
        <v>109</v>
      </c>
      <c r="B139" s="41"/>
      <c r="C139" s="41"/>
      <c r="D139" s="41"/>
      <c r="E139" s="41"/>
    </row>
  </sheetData>
  <mergeCells count="38">
    <mergeCell ref="A1:E1"/>
    <mergeCell ref="G1:K1"/>
    <mergeCell ref="A139:E139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$1:I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{d3fe333e-1663-45a1-82a6-127ba5b3e542}</x14:id>
        </ext>
      </extLst>
    </cfRule>
  </conditionalFormatting>
  <conditionalFormatting sqref="I3:I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{7b3fa541-de62-47be-80dd-d425358a243e}</x14:id>
        </ext>
      </extLst>
    </cfRule>
  </conditionalFormatting>
  <conditionalFormatting sqref="D1:D18 D20:D23 D25:D26 D28:D42 D44:D45 D47:D48 D50:D51 D53 D55 D57:D60 D62:D64 D66:D73 D75:D92 D103:D138 D95:D98 D140:D104857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{1b969ed2-42c4-482a-9ee1-46a9181fed85}</x14:id>
        </ext>
      </extLst>
    </cfRule>
  </conditionalFormatting>
  <conditionalFormatting sqref="I1:I38 I40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{58a9ad27-52f0-4bc6-a2a2-911a8a692861}</x14:id>
        </ext>
      </extLst>
    </cfRule>
  </conditionalFormatting>
  <conditionalFormatting sqref="I1:I22 I40:I1048576 I24:I3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{50a77682-1aba-4643-b087-0598cf6d812f}</x14:id>
        </ext>
      </extLst>
    </cfRule>
  </conditionalFormatting>
  <conditionalFormatting sqref="I1:I21 I40:I1048576 I24:I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{ed5c0f64-bcb8-43fc-9548-2be3c4725205}</x14:id>
        </ext>
      </extLst>
    </cfRule>
  </conditionalFormatting>
  <conditionalFormatting sqref="I2 I49:I104857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{075c6fac-f5b5-4b02-a0a3-30e8ffc2277b}</x14:id>
        </ext>
      </extLst>
    </cfRule>
  </conditionalFormatting>
  <conditionalFormatting sqref="I2:I6 I9:I21 I24:I34 I36:I38 I40:I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{49e8b147-89fa-45eb-a0fa-227a5c308226}</x14:id>
        </ext>
      </extLst>
    </cfRule>
  </conditionalFormatting>
  <conditionalFormatting sqref="I2:I6 I36:I38 I9:I15 I40:I1048576 I24:I34 I17:I2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{f4bdde41-6a47-44a6-b5f1-aee67f87a8dd}</x14:id>
        </ext>
      </extLst>
    </cfRule>
  </conditionalFormatting>
  <conditionalFormatting sqref="D3 D10:D18 D20:D23 D25:D26 D28:D3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 I11:I13 I9 I47:I48 I40:I45 I36:I37 I33:I34 I28:I30 I26 I24 I17:I2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{956a6168-0c36-4424-bad5-83268033d61d}</x14:id>
        </ext>
      </extLst>
    </cfRule>
  </conditionalFormatting>
  <conditionalFormatting sqref="I3:I6 I11:I13 I9 I47:I48 I40:I45 I36:I37 I33:I34 I26 I28:I30 I17:I21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{e93d4e24-5f3c-4128-b2f7-a4df6c96c984}</x14:id>
        </ext>
      </extLst>
    </cfRule>
  </conditionalFormatting>
  <conditionalFormatting sqref="I3:I6 I11:I13 I47:I48 I9 I40:I45 I36:I37 I28:I30 I26 I33:I34 I24 I17:I21 I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{c735c6f4-32e9-4913-ad20-fb254a495147}</x14:id>
        </ext>
      </extLst>
    </cfRule>
  </conditionalFormatting>
  <conditionalFormatting sqref="I3:I6 I40:I48 I9:I13 I36:I37 I26:I31 I24 I15 I17:I21 I33:I3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{2b9c2bb9-1999-428c-a7aa-26baefb97dfb}</x14:id>
        </ext>
      </extLst>
    </cfRule>
  </conditionalFormatting>
  <conditionalFormatting sqref="I3:I6 I40:I45 I9:I13 I47:I48 I36:I37 I26:I30 I24 I33:I34 I15 I17:I2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{0049a38e-3a45-4310-afa2-2b8075240921}</x14:id>
        </ext>
      </extLst>
    </cfRule>
  </conditionalFormatting>
  <conditionalFormatting sqref="I3:I6 I9:I15 I17:I21 I40:I48 I36:I38 I24:I3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{493e8f2a-923f-40b9-918d-ef658a808b3e}</x14:id>
        </ext>
      </extLst>
    </cfRule>
  </conditionalFormatting>
  <conditionalFormatting sqref="I3:I6 I9:I15 I17:I21 I40:I48 I36:I38 I24 I26:I3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{0e6c81ed-fe71-40d7-97d8-c5dd0507387a}</x14:id>
        </ext>
      </extLst>
    </cfRule>
  </conditionalFormatting>
  <conditionalFormatting sqref="I3:I6 I9:I21 I24:I34 I40:I48 I36:I3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{550a4e90-eb7f-43c2-a989-da27c2ac2d62}</x14:id>
        </ext>
      </extLst>
    </cfRule>
  </conditionalFormatting>
  <conditionalFormatting sqref="I3:I6 I8:I21 I40:I48 I24:I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{3c41b2b1-c2f0-4bfc-9e1e-fcce93f229b0}</x14:id>
        </ext>
      </extLst>
    </cfRule>
  </conditionalFormatting>
  <conditionalFormatting sqref="I3:I6 I8:I21 I24:I34 I36:I38 I40:I4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{4f056e28-f5b6-4596-9808-cbc535923444}</x14:id>
        </ext>
      </extLst>
    </cfRule>
  </conditionalFormatting>
  <pageMargins left="0.75" right="0.75" top="1" bottom="1" header="0.5" footer="0.5"/>
  <headerFooter/>
  <ignoredErrors>
    <ignoredError sqref="E8:E30 E32:E49 D8:D108 D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e333e-1663-45a1-82a6-127ba5b3e5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I$1:I$1048576</xm:sqref>
        </x14:conditionalFormatting>
        <x14:conditionalFormatting xmlns:xm="http://schemas.microsoft.com/office/excel/2006/main">
          <x14:cfRule type="dataBar" id="{7b3fa541-de62-47be-80dd-d425358a2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I3:I48</xm:sqref>
        </x14:conditionalFormatting>
        <x14:conditionalFormatting xmlns:xm="http://schemas.microsoft.com/office/excel/2006/main">
          <x14:cfRule type="dataBar" id="{1b969ed2-42c4-482a-9ee1-46a9181fed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58a9ad27-52f0-4bc6-a2a2-911a8a692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I1:I38 I40:I1048576</xm:sqref>
        </x14:conditionalFormatting>
        <x14:conditionalFormatting xmlns:xm="http://schemas.microsoft.com/office/excel/2006/main">
          <x14:cfRule type="dataBar" id="{50a77682-1aba-4643-b087-0598cf6d8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I1:I22 I40:I1048576 I24:I38</xm:sqref>
        </x14:conditionalFormatting>
        <x14:conditionalFormatting xmlns:xm="http://schemas.microsoft.com/office/excel/2006/main">
          <x14:cfRule type="dataBar" id="{ed5c0f64-bcb8-43fc-9548-2be3c47252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I1:I21 I40:I1048576 I24:I38</xm:sqref>
        </x14:conditionalFormatting>
        <x14:conditionalFormatting xmlns:xm="http://schemas.microsoft.com/office/excel/2006/main">
          <x14:cfRule type="dataBar" id="{075c6fac-f5b5-4b02-a0a3-30e8ffc22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I49:I1048576</xm:sqref>
        </x14:conditionalFormatting>
        <x14:conditionalFormatting xmlns:xm="http://schemas.microsoft.com/office/excel/2006/main">
          <x14:cfRule type="dataBar" id="{49e8b147-89fa-45eb-a0fa-227a5c308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I9:I21 I24:I34 I36:I38 I40:I1048576</xm:sqref>
        </x14:conditionalFormatting>
        <x14:conditionalFormatting xmlns:xm="http://schemas.microsoft.com/office/excel/2006/main">
          <x14:cfRule type="dataBar" id="{f4bdde41-6a47-44a6-b5f1-aee67f87a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I36:I38 I9:I15 I40:I1048576 I24:I34 I17:I21</xm:sqref>
        </x14:conditionalFormatting>
        <x14:conditionalFormatting xmlns:xm="http://schemas.microsoft.com/office/excel/2006/main">
          <x14:cfRule type="dataBar" id="{956a6168-0c36-4424-bad5-83268033d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I47:I48 I40:I45 I36:I37 I33:I34 I28:I30 I26 I24 I17:I21</xm:sqref>
        </x14:conditionalFormatting>
        <x14:conditionalFormatting xmlns:xm="http://schemas.microsoft.com/office/excel/2006/main">
          <x14:cfRule type="dataBar" id="{e93d4e24-5f3c-4128-b2f7-a4df6c96c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I47:I48 I40:I45 I36:I37 I33:I34 I26 I28:I30 I17:I21</xm:sqref>
        </x14:conditionalFormatting>
        <x14:conditionalFormatting xmlns:xm="http://schemas.microsoft.com/office/excel/2006/main">
          <x14:cfRule type="dataBar" id="{c735c6f4-32e9-4913-ad20-fb254a4951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I47:I48 I9 I40:I45 I36:I37 I28:I30 I26 I33:I34 I24 I17:I21 I15</xm:sqref>
        </x14:conditionalFormatting>
        <x14:conditionalFormatting xmlns:xm="http://schemas.microsoft.com/office/excel/2006/main">
          <x14:cfRule type="dataBar" id="{2b9c2bb9-1999-428c-a7aa-26baefb97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I40:I48 I9:I13 I36:I37 I26:I31 I24 I15 I17:I21 I33:I34</xm:sqref>
        </x14:conditionalFormatting>
        <x14:conditionalFormatting xmlns:xm="http://schemas.microsoft.com/office/excel/2006/main">
          <x14:cfRule type="dataBar" id="{0049a38e-3a45-4310-afa2-2b80752409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I40:I45 I9:I13 I47:I48 I36:I37 I26:I30 I24 I33:I34 I15 I17:I21</xm:sqref>
        </x14:conditionalFormatting>
        <x14:conditionalFormatting xmlns:xm="http://schemas.microsoft.com/office/excel/2006/main">
          <x14:cfRule type="dataBar" id="{493e8f2a-923f-40b9-918d-ef658a808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I9:I15 I17:I21 I40:I48 I36:I38 I24:I34</xm:sqref>
        </x14:conditionalFormatting>
        <x14:conditionalFormatting xmlns:xm="http://schemas.microsoft.com/office/excel/2006/main">
          <x14:cfRule type="dataBar" id="{0e6c81ed-fe71-40d7-97d8-c5dd05073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I9:I15 I17:I21 I40:I48 I36:I38 I24 I26:I34</xm:sqref>
        </x14:conditionalFormatting>
        <x14:conditionalFormatting xmlns:xm="http://schemas.microsoft.com/office/excel/2006/main">
          <x14:cfRule type="dataBar" id="{550a4e90-eb7f-43c2-a989-da27c2ac2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I9:I21 I24:I34 I40:I48 I36:I38</xm:sqref>
        </x14:conditionalFormatting>
        <x14:conditionalFormatting xmlns:xm="http://schemas.microsoft.com/office/excel/2006/main">
          <x14:cfRule type="dataBar" id="{3c41b2b1-c2f0-4bfc-9e1e-fcce93f22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I8:I21 I40:I48 I24:I38</xm:sqref>
        </x14:conditionalFormatting>
        <x14:conditionalFormatting xmlns:xm="http://schemas.microsoft.com/office/excel/2006/main">
          <x14:cfRule type="dataBar" id="{4f056e28-f5b6-4596-9808-cbc535923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I8:I21 I24:I34 I36:I38 I40:I48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3.5"/>
  <cols>
    <col min="1" max="1" width="11.5" customWidth="1"/>
    <col min="2" max="2" width="8.125" customWidth="1"/>
    <col min="3" max="3" width="8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收支与赞助鸣谢</vt:lpstr>
      <vt:lpstr>服主的投资和欠条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WPS_1664072361</cp:lastModifiedBy>
  <dcterms:created xsi:type="dcterms:W3CDTF">2022-09-24T12:08:00Z</dcterms:created>
  <dcterms:modified xsi:type="dcterms:W3CDTF">2026-03-04T08:52:25Z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